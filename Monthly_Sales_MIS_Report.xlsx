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Monthly_Summary" sheetId="3" state="visible" r:id="rId5"/>
    <sheet name="Data" sheetId="4" state="visible" r:id="rId6"/>
    <sheet name="Products" sheetId="5" state="visible" r:id="rId7"/>
    <sheet name="Lists" sheetId="6" state="visible" r:id="rId8"/>
    <sheet name="Data_Checks" sheetId="7" state="visible" r:id="rId9"/>
  </sheets>
  <definedNames>
    <definedName function="false" hidden="false" localSheetId="1" name="_xlnm.Print_Area" vbProcedure="false">Dashboard!$A$1:$N$48</definedName>
    <definedName function="false" hidden="false" localSheetId="3" name="_xlnm.Print_Area" vbProcedure="false">Data!$A$1:$M$481</definedName>
    <definedName function="false" hidden="true" localSheetId="3" name="_xlnm._FilterDatabase" vbProcedure="false">Data!$A$1:$M$1000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SAMPLE DATA: these 480 orders were generated for demonstration (fictional company). Paste your own orders into columns A-G; columns H-M calculate automatically.</t>
        </r>
      </text>
    </comment>
  </commentList>
</comments>
</file>

<file path=xl/sharedStrings.xml><?xml version="1.0" encoding="utf-8"?>
<sst xmlns="http://schemas.openxmlformats.org/spreadsheetml/2006/main" count="2116" uniqueCount="638">
  <si>
    <t xml:space="preserve">Monthly Sales MIS Report Automation</t>
  </si>
  <si>
    <t xml:space="preserve">An Excel MIS reporting workbook: paste orders once, pick a month, and the whole report updates.</t>
  </si>
  <si>
    <t xml:space="preserve">Sheet guide</t>
  </si>
  <si>
    <t xml:space="preserve">About the data</t>
  </si>
  <si>
    <t xml:space="preserve">SAMPLE DATA. The 480 orders and the product prices are generated for demonstration (a fictional office-supplies distributor). They are not real company data.</t>
  </si>
  <si>
    <t xml:space="preserve">Dashboard</t>
  </si>
  <si>
    <t xml:space="preserve">KPI cards, sales by region and category, Top 5 salespersons, auto-written insights and charts for the month selected in the yellow cell.</t>
  </si>
  <si>
    <t xml:space="preserve">Monthly_Summary</t>
  </si>
  <si>
    <t xml:space="preserve">Full-year table of orders, units, sales, profit, margin and month-on-month growth (feeds the trend chart).</t>
  </si>
  <si>
    <t xml:space="preserve">Data</t>
  </si>
  <si>
    <t xml:space="preserve">Order records. Blue columns A-G are inputs; columns H-M are formulas (category, price and cost lookups, sales, cost, profit) filled down to row 1000.</t>
  </si>
  <si>
    <t xml:space="preserve">Products</t>
  </si>
  <si>
    <t xml:space="preserve">Product master: category, unit price and unit cost used by the lookups in the Data sheet.</t>
  </si>
  <si>
    <t xml:space="preserve">Lists</t>
  </si>
  <si>
    <t xml:space="preserve">Dropdown lists (months, regions, salespersons, categories) plus helper formulas for the Top 5 table.</t>
  </si>
  <si>
    <t xml:space="preserve">Data_Checks</t>
  </si>
  <si>
    <t xml:space="preserve">12 automatic data-quality and reconciliation checks with PASS / REVIEW status.</t>
  </si>
  <si>
    <t xml:space="preserve">How to use</t>
  </si>
  <si>
    <t xml:space="preserve">1. Go to the Dashboard and choose a month in the yellow dropdown (and the report year).</t>
  </si>
  <si>
    <t xml:space="preserve">2. To use your own data, paste orders into Data columns A-G (below the last row). Add any new products on the Products sheet.</t>
  </si>
  <si>
    <t xml:space="preserve">3. Open Data_Checks: every row should say PASS. Fix anything marked REVIEW.</t>
  </si>
  <si>
    <t xml:space="preserve">4. All reports, KPIs and charts recalculate automatically - no manual copy-paste.</t>
  </si>
  <si>
    <t xml:space="preserve">Colour legend</t>
  </si>
  <si>
    <t xml:space="preserve">Blue text</t>
  </si>
  <si>
    <t xml:space="preserve">Input you can edit (hardcoded values and lists).</t>
  </si>
  <si>
    <t xml:space="preserve">Black text</t>
  </si>
  <si>
    <t xml:space="preserve">Formula - do not overwrite.</t>
  </si>
  <si>
    <t xml:space="preserve">Yellow fill</t>
  </si>
  <si>
    <t xml:space="preserve">Selector cells on the Dashboard (month and year).</t>
  </si>
  <si>
    <t xml:space="preserve">Excel skills used</t>
  </si>
  <si>
    <t xml:space="preserve">SUMIFS, COUNTIFS, INDEX/MATCH lookups, RANK, EOMONTH/EDATE, SUMPRODUCT, IFERROR, data validation (dropdowns), conditional formatting, charts, formula-driven KPIs and data-quality checks.</t>
  </si>
  <si>
    <t xml:space="preserve">Monthly Sales MIS Dashboard</t>
  </si>
  <si>
    <t xml:space="preserve">Sample data for a fictional office-supplies distributor. Change the month in the yellow cell and every number and chart updates.</t>
  </si>
  <si>
    <t xml:space="preserve">Report Year</t>
  </si>
  <si>
    <t xml:space="preserve">Select Month</t>
  </si>
  <si>
    <t xml:space="preserve">September</t>
  </si>
  <si>
    <t xml:space="preserve">Period</t>
  </si>
  <si>
    <t xml:space="preserve">Start date</t>
  </si>
  <si>
    <t xml:space="preserve">End date</t>
  </si>
  <si>
    <t xml:space="preserve">Prev. month start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</si>
  <si>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</si>
  <si>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</si>
  <si>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</si>
  <si>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</si>
  <si>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Avg Order Value</t>
  </si>
  <si>
    <t xml:space="preserve">Sales vs Prev. Month</t>
  </si>
  <si>
    <t xml:space="preserve">Sales by Region</t>
  </si>
  <si>
    <t xml:space="preserve">Sales by Category</t>
  </si>
  <si>
    <t xml:space="preserve">Region</t>
  </si>
  <si>
    <t xml:space="preserve">Sales (₹)</t>
  </si>
  <si>
    <t xml:space="preserve">Profit (₹)</t>
  </si>
  <si>
    <t xml:space="preserve">Margin %</t>
  </si>
  <si>
    <t xml:space="preserve">Share of Sales</t>
  </si>
  <si>
    <t xml:space="preserve">Category</t>
  </si>
  <si>
    <t xml:space="preserve">Total</t>
  </si>
  <si>
    <t xml:space="preserve">Top 5 Salespersons (selected month)</t>
  </si>
  <si>
    <t xml:space="preserve">Key Insights (auto-generated)</t>
  </si>
  <si>
    <t xml:space="preserve">Rank</t>
  </si>
  <si>
    <t xml:space="preserve">Salesperson</t>
  </si>
  <si>
    <t xml:space="preserve">Monthly Summary (full year)</t>
  </si>
  <si>
    <t xml:space="preserve">All figures are formulas (SUMIFS / COUNTIFS) on the Data sheet. Report year is set on the Dashboard.</t>
  </si>
  <si>
    <t xml:space="preserve">Month</t>
  </si>
  <si>
    <t xml:space="preserve">Month Start</t>
  </si>
  <si>
    <t xml:space="preserve">Units Sold</t>
  </si>
  <si>
    <t xml:space="preserve">N/A</t>
  </si>
  <si>
    <t xml:space="preserve">Year Total</t>
  </si>
  <si>
    <t xml:space="preserve">Order ID</t>
  </si>
  <si>
    <t xml:space="preserve">Order Date</t>
  </si>
  <si>
    <t xml:space="preserve">Product</t>
  </si>
  <si>
    <t xml:space="preserve">Qty</t>
  </si>
  <si>
    <t xml:space="preserve">Discount %</t>
  </si>
  <si>
    <t xml:space="preserve">Category (lookup)</t>
  </si>
  <si>
    <t xml:space="preserve">Unit Price (lookup)</t>
  </si>
  <si>
    <t xml:space="preserve">Unit Cost (lookup)</t>
  </si>
  <si>
    <t xml:space="preserve">Sales Amount</t>
  </si>
  <si>
    <t xml:space="preserve">Cost</t>
  </si>
  <si>
    <t xml:space="preserve">Profit</t>
  </si>
  <si>
    <t xml:space="preserve">ORD-2025-0001</t>
  </si>
  <si>
    <t xml:space="preserve">North</t>
  </si>
  <si>
    <t xml:space="preserve">Neha Sharma</t>
  </si>
  <si>
    <t xml:space="preserve">Water Dispenser</t>
  </si>
  <si>
    <t xml:space="preserve">ORD-2025-0002</t>
  </si>
  <si>
    <t xml:space="preserve">South</t>
  </si>
  <si>
    <t xml:space="preserve">Priya Nair</t>
  </si>
  <si>
    <t xml:space="preserve">Notebook Pack</t>
  </si>
  <si>
    <t xml:space="preserve">ORD-2025-0003</t>
  </si>
  <si>
    <t xml:space="preserve">Amit Verma</t>
  </si>
  <si>
    <t xml:space="preserve">ORD-2025-0004</t>
  </si>
  <si>
    <t xml:space="preserve">East</t>
  </si>
  <si>
    <t xml:space="preserve">Vikram Roy</t>
  </si>
  <si>
    <t xml:space="preserve">Ball Pens Box</t>
  </si>
  <si>
    <t xml:space="preserve">ORD-2025-0005</t>
  </si>
  <si>
    <t xml:space="preserve">ORD-2025-0006</t>
  </si>
  <si>
    <t xml:space="preserve">Karan Iyer</t>
  </si>
  <si>
    <t xml:space="preserve">A4 Paper Ream</t>
  </si>
  <si>
    <t xml:space="preserve">ORD-2025-0007</t>
  </si>
  <si>
    <t xml:space="preserve">Office Chair</t>
  </si>
  <si>
    <t xml:space="preserve">ORD-2025-0008</t>
  </si>
  <si>
    <t xml:space="preserve">ORD-2025-0009</t>
  </si>
  <si>
    <t xml:space="preserve">ORD-2025-0010</t>
  </si>
  <si>
    <t xml:space="preserve">ORD-2025-0011</t>
  </si>
  <si>
    <t xml:space="preserve">ORD-2025-0012</t>
  </si>
  <si>
    <t xml:space="preserve">ORD-2025-0013</t>
  </si>
  <si>
    <t xml:space="preserve">Keyboard</t>
  </si>
  <si>
    <t xml:space="preserve">ORD-2025-0014</t>
  </si>
  <si>
    <t xml:space="preserve">West</t>
  </si>
  <si>
    <t xml:space="preserve">Anjali Joshi</t>
  </si>
  <si>
    <t xml:space="preserve">Work Desk</t>
  </si>
  <si>
    <t xml:space="preserve">ORD-2025-0015</t>
  </si>
  <si>
    <t xml:space="preserve">ORD-2025-0016</t>
  </si>
  <si>
    <t xml:space="preserve">ORD-2025-0017</t>
  </si>
  <si>
    <t xml:space="preserve">Sneha Das</t>
  </si>
  <si>
    <t xml:space="preserve">ORD-2025-0018</t>
  </si>
  <si>
    <t xml:space="preserve">ORD-2025-0019</t>
  </si>
  <si>
    <t xml:space="preserve">Tea Premix Carton</t>
  </si>
  <si>
    <t xml:space="preserve">ORD-2025-0020</t>
  </si>
  <si>
    <t xml:space="preserve">Rohit Patil</t>
  </si>
  <si>
    <t xml:space="preserve">ORD-2025-0021</t>
  </si>
  <si>
    <t xml:space="preserve">ORD-2025-0022</t>
  </si>
  <si>
    <t xml:space="preserve">ORD-2025-0023</t>
  </si>
  <si>
    <t xml:space="preserve">ORD-2025-0024</t>
  </si>
  <si>
    <t xml:space="preserve">Wireless Mouse</t>
  </si>
  <si>
    <t xml:space="preserve">ORD-2025-0025</t>
  </si>
  <si>
    <t xml:space="preserve">ORD-2025-0026</t>
  </si>
  <si>
    <t xml:space="preserve">ORD-2025-0027</t>
  </si>
  <si>
    <t xml:space="preserve">ORD-2025-0028</t>
  </si>
  <si>
    <t xml:space="preserve">ORD-2025-0029</t>
  </si>
  <si>
    <t xml:space="preserve">ORD-2025-0030</t>
  </si>
  <si>
    <t xml:space="preserve">ORD-2025-0031</t>
  </si>
  <si>
    <t xml:space="preserve">ORD-2025-0032</t>
  </si>
  <si>
    <t xml:space="preserve">ORD-2025-0033</t>
  </si>
  <si>
    <t xml:space="preserve">ORD-2025-0034</t>
  </si>
  <si>
    <t xml:space="preserve">ORD-2025-0035</t>
  </si>
  <si>
    <t xml:space="preserve">ORD-2025-0036</t>
  </si>
  <si>
    <t xml:space="preserve">Filing Cabinet</t>
  </si>
  <si>
    <t xml:space="preserve">ORD-2025-0037</t>
  </si>
  <si>
    <t xml:space="preserve">ORD-2025-0038</t>
  </si>
  <si>
    <t xml:space="preserve">ORD-2025-0039</t>
  </si>
  <si>
    <t xml:space="preserve">ORD-2025-0040</t>
  </si>
  <si>
    <t xml:space="preserve">ORD-2025-0041</t>
  </si>
  <si>
    <t xml:space="preserve">ORD-2025-0042</t>
  </si>
  <si>
    <t xml:space="preserve">ORD-2025-0043</t>
  </si>
  <si>
    <t xml:space="preserve">ORD-2025-0044</t>
  </si>
  <si>
    <t xml:space="preserve">ORD-2025-0045</t>
  </si>
  <si>
    <t xml:space="preserve">ORD-2025-0046</t>
  </si>
  <si>
    <t xml:space="preserve">ORD-2025-0047</t>
  </si>
  <si>
    <t xml:space="preserve">ORD-2025-0048</t>
  </si>
  <si>
    <t xml:space="preserve">ORD-2025-0049</t>
  </si>
  <si>
    <t xml:space="preserve">ORD-2025-0050</t>
  </si>
  <si>
    <t xml:space="preserve">ORD-2025-0051</t>
  </si>
  <si>
    <t xml:space="preserve">ORD-2025-0052</t>
  </si>
  <si>
    <t xml:space="preserve">ORD-2025-0053</t>
  </si>
  <si>
    <t xml:space="preserve">ORD-2025-0054</t>
  </si>
  <si>
    <t xml:space="preserve">ORD-2025-0055</t>
  </si>
  <si>
    <t xml:space="preserve">ORD-2025-0056</t>
  </si>
  <si>
    <t xml:space="preserve">ORD-2025-0057</t>
  </si>
  <si>
    <t xml:space="preserve">ORD-2025-0058</t>
  </si>
  <si>
    <t xml:space="preserve">LED Monitor</t>
  </si>
  <si>
    <t xml:space="preserve">ORD-2025-0059</t>
  </si>
  <si>
    <t xml:space="preserve">ORD-2025-0060</t>
  </si>
  <si>
    <t xml:space="preserve">ORD-2025-0061</t>
  </si>
  <si>
    <t xml:space="preserve">ORD-2025-0062</t>
  </si>
  <si>
    <t xml:space="preserve">ORD-2025-0063</t>
  </si>
  <si>
    <t xml:space="preserve">ORD-2025-0064</t>
  </si>
  <si>
    <t xml:space="preserve">ORD-2025-0065</t>
  </si>
  <si>
    <t xml:space="preserve">ORD-2025-0066</t>
  </si>
  <si>
    <t xml:space="preserve">ORD-2025-0067</t>
  </si>
  <si>
    <t xml:space="preserve">ORD-2025-0068</t>
  </si>
  <si>
    <t xml:space="preserve">ORD-2025-0069</t>
  </si>
  <si>
    <t xml:space="preserve">ORD-2025-0070</t>
  </si>
  <si>
    <t xml:space="preserve">ORD-2025-0071</t>
  </si>
  <si>
    <t xml:space="preserve">ORD-2025-0072</t>
  </si>
  <si>
    <t xml:space="preserve">ORD-2025-0073</t>
  </si>
  <si>
    <t xml:space="preserve">ORD-2025-0074</t>
  </si>
  <si>
    <t xml:space="preserve">Printer</t>
  </si>
  <si>
    <t xml:space="preserve">ORD-2025-0075</t>
  </si>
  <si>
    <t xml:space="preserve">ORD-2025-0076</t>
  </si>
  <si>
    <t xml:space="preserve">ORD-2025-0077</t>
  </si>
  <si>
    <t xml:space="preserve">ORD-2025-0078</t>
  </si>
  <si>
    <t xml:space="preserve">ORD-2025-0079</t>
  </si>
  <si>
    <t xml:space="preserve">ORD-2025-0080</t>
  </si>
  <si>
    <t xml:space="preserve">ORD-2025-0081</t>
  </si>
  <si>
    <t xml:space="preserve">ORD-2025-0082</t>
  </si>
  <si>
    <t xml:space="preserve">ORD-2025-0083</t>
  </si>
  <si>
    <t xml:space="preserve">ORD-2025-0084</t>
  </si>
  <si>
    <t xml:space="preserve">ORD-2025-0085</t>
  </si>
  <si>
    <t xml:space="preserve">ORD-2025-0086</t>
  </si>
  <si>
    <t xml:space="preserve">ORD-2025-0087</t>
  </si>
  <si>
    <t xml:space="preserve">ORD-2025-0088</t>
  </si>
  <si>
    <t xml:space="preserve">ORD-2025-0089</t>
  </si>
  <si>
    <t xml:space="preserve">ORD-2025-0090</t>
  </si>
  <si>
    <t xml:space="preserve">ORD-2025-0091</t>
  </si>
  <si>
    <t xml:space="preserve">ORD-2025-0092</t>
  </si>
  <si>
    <t xml:space="preserve">ORD-2025-0093</t>
  </si>
  <si>
    <t xml:space="preserve">ORD-2025-0094</t>
  </si>
  <si>
    <t xml:space="preserve">ORD-2025-0095</t>
  </si>
  <si>
    <t xml:space="preserve">ORD-2025-0096</t>
  </si>
  <si>
    <t xml:space="preserve">ORD-2025-0097</t>
  </si>
  <si>
    <t xml:space="preserve">ORD-2025-0098</t>
  </si>
  <si>
    <t xml:space="preserve">ORD-2025-0099</t>
  </si>
  <si>
    <t xml:space="preserve">ORD-2025-0100</t>
  </si>
  <si>
    <t xml:space="preserve">ORD-2025-0101</t>
  </si>
  <si>
    <t xml:space="preserve">ORD-2025-0102</t>
  </si>
  <si>
    <t xml:space="preserve">ORD-2025-0103</t>
  </si>
  <si>
    <t xml:space="preserve">ORD-2025-0104</t>
  </si>
  <si>
    <t xml:space="preserve">ORD-2025-0105</t>
  </si>
  <si>
    <t xml:space="preserve">ORD-2025-0106</t>
  </si>
  <si>
    <t xml:space="preserve">ORD-2025-0107</t>
  </si>
  <si>
    <t xml:space="preserve">ORD-2025-0108</t>
  </si>
  <si>
    <t xml:space="preserve">ORD-2025-0109</t>
  </si>
  <si>
    <t xml:space="preserve">ORD-2025-0110</t>
  </si>
  <si>
    <t xml:space="preserve">ORD-2025-0111</t>
  </si>
  <si>
    <t xml:space="preserve">ORD-2025-0112</t>
  </si>
  <si>
    <t xml:space="preserve">ORD-2025-0113</t>
  </si>
  <si>
    <t xml:space="preserve">ORD-2025-0114</t>
  </si>
  <si>
    <t xml:space="preserve">ORD-2025-0115</t>
  </si>
  <si>
    <t xml:space="preserve">ORD-2025-0116</t>
  </si>
  <si>
    <t xml:space="preserve">ORD-2025-0117</t>
  </si>
  <si>
    <t xml:space="preserve">ORD-2025-0118</t>
  </si>
  <si>
    <t xml:space="preserve">ORD-2025-0119</t>
  </si>
  <si>
    <t xml:space="preserve">ORD-2025-0120</t>
  </si>
  <si>
    <t xml:space="preserve">ORD-2025-0121</t>
  </si>
  <si>
    <t xml:space="preserve">ORD-2025-0122</t>
  </si>
  <si>
    <t xml:space="preserve">ORD-2025-0123</t>
  </si>
  <si>
    <t xml:space="preserve">ORD-2025-0124</t>
  </si>
  <si>
    <t xml:space="preserve">ORD-2025-0125</t>
  </si>
  <si>
    <t xml:space="preserve">ORD-2025-0126</t>
  </si>
  <si>
    <t xml:space="preserve">ORD-2025-0127</t>
  </si>
  <si>
    <t xml:space="preserve">ORD-2025-0128</t>
  </si>
  <si>
    <t xml:space="preserve">ORD-2025-0129</t>
  </si>
  <si>
    <t xml:space="preserve">ORD-2025-0130</t>
  </si>
  <si>
    <t xml:space="preserve">ORD-2025-0131</t>
  </si>
  <si>
    <t xml:space="preserve">ORD-2025-0132</t>
  </si>
  <si>
    <t xml:space="preserve">ORD-2025-0133</t>
  </si>
  <si>
    <t xml:space="preserve">ORD-2025-0134</t>
  </si>
  <si>
    <t xml:space="preserve">ORD-2025-0135</t>
  </si>
  <si>
    <t xml:space="preserve">ORD-2025-0136</t>
  </si>
  <si>
    <t xml:space="preserve">ORD-2025-0137</t>
  </si>
  <si>
    <t xml:space="preserve">ORD-2025-0138</t>
  </si>
  <si>
    <t xml:space="preserve">ORD-2025-0139</t>
  </si>
  <si>
    <t xml:space="preserve">ORD-2025-0140</t>
  </si>
  <si>
    <t xml:space="preserve">ORD-2025-0141</t>
  </si>
  <si>
    <t xml:space="preserve">ORD-2025-0142</t>
  </si>
  <si>
    <t xml:space="preserve">ORD-2025-0143</t>
  </si>
  <si>
    <t xml:space="preserve">ORD-2025-0144</t>
  </si>
  <si>
    <t xml:space="preserve">ORD-2025-0145</t>
  </si>
  <si>
    <t xml:space="preserve">ORD-2025-0146</t>
  </si>
  <si>
    <t xml:space="preserve">ORD-2025-0147</t>
  </si>
  <si>
    <t xml:space="preserve">ORD-2025-0148</t>
  </si>
  <si>
    <t xml:space="preserve">ORD-2025-0149</t>
  </si>
  <si>
    <t xml:space="preserve">ORD-2025-0150</t>
  </si>
  <si>
    <t xml:space="preserve">ORD-2025-0151</t>
  </si>
  <si>
    <t xml:space="preserve">ORD-2025-0152</t>
  </si>
  <si>
    <t xml:space="preserve">ORD-2025-0153</t>
  </si>
  <si>
    <t xml:space="preserve">ORD-2025-0154</t>
  </si>
  <si>
    <t xml:space="preserve">ORD-2025-0155</t>
  </si>
  <si>
    <t xml:space="preserve">ORD-2025-0156</t>
  </si>
  <si>
    <t xml:space="preserve">ORD-2025-0157</t>
  </si>
  <si>
    <t xml:space="preserve">ORD-2025-0158</t>
  </si>
  <si>
    <t xml:space="preserve">ORD-2025-0159</t>
  </si>
  <si>
    <t xml:space="preserve">ORD-2025-0160</t>
  </si>
  <si>
    <t xml:space="preserve">ORD-2025-0161</t>
  </si>
  <si>
    <t xml:space="preserve">ORD-2025-0162</t>
  </si>
  <si>
    <t xml:space="preserve">ORD-2025-0163</t>
  </si>
  <si>
    <t xml:space="preserve">ORD-2025-0164</t>
  </si>
  <si>
    <t xml:space="preserve">ORD-2025-0165</t>
  </si>
  <si>
    <t xml:space="preserve">ORD-2025-0166</t>
  </si>
  <si>
    <t xml:space="preserve">ORD-2025-0167</t>
  </si>
  <si>
    <t xml:space="preserve">ORD-2025-0168</t>
  </si>
  <si>
    <t xml:space="preserve">ORD-2025-0169</t>
  </si>
  <si>
    <t xml:space="preserve">ORD-2025-0170</t>
  </si>
  <si>
    <t xml:space="preserve">ORD-2025-0171</t>
  </si>
  <si>
    <t xml:space="preserve">ORD-2025-0172</t>
  </si>
  <si>
    <t xml:space="preserve">ORD-2025-0173</t>
  </si>
  <si>
    <t xml:space="preserve">ORD-2025-0174</t>
  </si>
  <si>
    <t xml:space="preserve">ORD-2025-0175</t>
  </si>
  <si>
    <t xml:space="preserve">ORD-2025-0176</t>
  </si>
  <si>
    <t xml:space="preserve">ORD-2025-0177</t>
  </si>
  <si>
    <t xml:space="preserve">ORD-2025-0178</t>
  </si>
  <si>
    <t xml:space="preserve">ORD-2025-0179</t>
  </si>
  <si>
    <t xml:space="preserve">ORD-2025-0180</t>
  </si>
  <si>
    <t xml:space="preserve">ORD-2025-0181</t>
  </si>
  <si>
    <t xml:space="preserve">ORD-2025-0182</t>
  </si>
  <si>
    <t xml:space="preserve">ORD-2025-0183</t>
  </si>
  <si>
    <t xml:space="preserve">ORD-2025-0184</t>
  </si>
  <si>
    <t xml:space="preserve">ORD-2025-0185</t>
  </si>
  <si>
    <t xml:space="preserve">ORD-2025-0186</t>
  </si>
  <si>
    <t xml:space="preserve">ORD-2025-0187</t>
  </si>
  <si>
    <t xml:space="preserve">ORD-2025-0188</t>
  </si>
  <si>
    <t xml:space="preserve">ORD-2025-0189</t>
  </si>
  <si>
    <t xml:space="preserve">ORD-2025-0190</t>
  </si>
  <si>
    <t xml:space="preserve">ORD-2025-0191</t>
  </si>
  <si>
    <t xml:space="preserve">ORD-2025-0192</t>
  </si>
  <si>
    <t xml:space="preserve">ORD-2025-0193</t>
  </si>
  <si>
    <t xml:space="preserve">ORD-2025-0194</t>
  </si>
  <si>
    <t xml:space="preserve">ORD-2025-0195</t>
  </si>
  <si>
    <t xml:space="preserve">ORD-2025-0196</t>
  </si>
  <si>
    <t xml:space="preserve">ORD-2025-0197</t>
  </si>
  <si>
    <t xml:space="preserve">ORD-2025-0198</t>
  </si>
  <si>
    <t xml:space="preserve">ORD-2025-0199</t>
  </si>
  <si>
    <t xml:space="preserve">ORD-2025-0200</t>
  </si>
  <si>
    <t xml:space="preserve">ORD-2025-0201</t>
  </si>
  <si>
    <t xml:space="preserve">ORD-2025-0202</t>
  </si>
  <si>
    <t xml:space="preserve">ORD-2025-0203</t>
  </si>
  <si>
    <t xml:space="preserve">ORD-2025-0204</t>
  </si>
  <si>
    <t xml:space="preserve">ORD-2025-0205</t>
  </si>
  <si>
    <t xml:space="preserve">ORD-2025-0206</t>
  </si>
  <si>
    <t xml:space="preserve">ORD-2025-0207</t>
  </si>
  <si>
    <t xml:space="preserve">ORD-2025-0208</t>
  </si>
  <si>
    <t xml:space="preserve">ORD-2025-0209</t>
  </si>
  <si>
    <t xml:space="preserve">ORD-2025-0210</t>
  </si>
  <si>
    <t xml:space="preserve">ORD-2025-0211</t>
  </si>
  <si>
    <t xml:space="preserve">ORD-2025-0212</t>
  </si>
  <si>
    <t xml:space="preserve">ORD-2025-0213</t>
  </si>
  <si>
    <t xml:space="preserve">ORD-2025-0214</t>
  </si>
  <si>
    <t xml:space="preserve">ORD-2025-0215</t>
  </si>
  <si>
    <t xml:space="preserve">ORD-2025-0216</t>
  </si>
  <si>
    <t xml:space="preserve">ORD-2025-0217</t>
  </si>
  <si>
    <t xml:space="preserve">ORD-2025-0218</t>
  </si>
  <si>
    <t xml:space="preserve">ORD-2025-0219</t>
  </si>
  <si>
    <t xml:space="preserve">ORD-2025-0220</t>
  </si>
  <si>
    <t xml:space="preserve">ORD-2025-0221</t>
  </si>
  <si>
    <t xml:space="preserve">ORD-2025-0222</t>
  </si>
  <si>
    <t xml:space="preserve">ORD-2025-0223</t>
  </si>
  <si>
    <t xml:space="preserve">ORD-2025-0224</t>
  </si>
  <si>
    <t xml:space="preserve">ORD-2025-0225</t>
  </si>
  <si>
    <t xml:space="preserve">ORD-2025-0226</t>
  </si>
  <si>
    <t xml:space="preserve">ORD-2025-0227</t>
  </si>
  <si>
    <t xml:space="preserve">ORD-2025-0228</t>
  </si>
  <si>
    <t xml:space="preserve">ORD-2025-0229</t>
  </si>
  <si>
    <t xml:space="preserve">ORD-2025-0230</t>
  </si>
  <si>
    <t xml:space="preserve">ORD-2025-0231</t>
  </si>
  <si>
    <t xml:space="preserve">ORD-2025-0232</t>
  </si>
  <si>
    <t xml:space="preserve">ORD-2025-0233</t>
  </si>
  <si>
    <t xml:space="preserve">ORD-2025-0234</t>
  </si>
  <si>
    <t xml:space="preserve">ORD-2025-0235</t>
  </si>
  <si>
    <t xml:space="preserve">ORD-2025-0236</t>
  </si>
  <si>
    <t xml:space="preserve">ORD-2025-0237</t>
  </si>
  <si>
    <t xml:space="preserve">ORD-2025-0238</t>
  </si>
  <si>
    <t xml:space="preserve">ORD-2025-0239</t>
  </si>
  <si>
    <t xml:space="preserve">ORD-2025-0240</t>
  </si>
  <si>
    <t xml:space="preserve">ORD-2025-0241</t>
  </si>
  <si>
    <t xml:space="preserve">ORD-2025-0242</t>
  </si>
  <si>
    <t xml:space="preserve">ORD-2025-0243</t>
  </si>
  <si>
    <t xml:space="preserve">ORD-2025-0244</t>
  </si>
  <si>
    <t xml:space="preserve">ORD-2025-0245</t>
  </si>
  <si>
    <t xml:space="preserve">ORD-2025-0246</t>
  </si>
  <si>
    <t xml:space="preserve">ORD-2025-0247</t>
  </si>
  <si>
    <t xml:space="preserve">ORD-2025-0248</t>
  </si>
  <si>
    <t xml:space="preserve">ORD-2025-0249</t>
  </si>
  <si>
    <t xml:space="preserve">ORD-2025-0250</t>
  </si>
  <si>
    <t xml:space="preserve">ORD-2025-0251</t>
  </si>
  <si>
    <t xml:space="preserve">ORD-2025-0252</t>
  </si>
  <si>
    <t xml:space="preserve">ORD-2025-0253</t>
  </si>
  <si>
    <t xml:space="preserve">ORD-2025-0254</t>
  </si>
  <si>
    <t xml:space="preserve">ORD-2025-0255</t>
  </si>
  <si>
    <t xml:space="preserve">ORD-2025-0256</t>
  </si>
  <si>
    <t xml:space="preserve">ORD-2025-0257</t>
  </si>
  <si>
    <t xml:space="preserve">ORD-2025-0258</t>
  </si>
  <si>
    <t xml:space="preserve">ORD-2025-0259</t>
  </si>
  <si>
    <t xml:space="preserve">ORD-2025-0260</t>
  </si>
  <si>
    <t xml:space="preserve">ORD-2025-0261</t>
  </si>
  <si>
    <t xml:space="preserve">ORD-2025-0262</t>
  </si>
  <si>
    <t xml:space="preserve">ORD-2025-0263</t>
  </si>
  <si>
    <t xml:space="preserve">ORD-2025-0264</t>
  </si>
  <si>
    <t xml:space="preserve">ORD-2025-0265</t>
  </si>
  <si>
    <t xml:space="preserve">ORD-2025-0266</t>
  </si>
  <si>
    <t xml:space="preserve">ORD-2025-0267</t>
  </si>
  <si>
    <t xml:space="preserve">ORD-2025-0268</t>
  </si>
  <si>
    <t xml:space="preserve">ORD-2025-0269</t>
  </si>
  <si>
    <t xml:space="preserve">ORD-2025-0270</t>
  </si>
  <si>
    <t xml:space="preserve">ORD-2025-0271</t>
  </si>
  <si>
    <t xml:space="preserve">ORD-2025-0272</t>
  </si>
  <si>
    <t xml:space="preserve">ORD-2025-0273</t>
  </si>
  <si>
    <t xml:space="preserve">ORD-2025-0274</t>
  </si>
  <si>
    <t xml:space="preserve">ORD-2025-0275</t>
  </si>
  <si>
    <t xml:space="preserve">ORD-2025-0276</t>
  </si>
  <si>
    <t xml:space="preserve">ORD-2025-0277</t>
  </si>
  <si>
    <t xml:space="preserve">ORD-2025-0278</t>
  </si>
  <si>
    <t xml:space="preserve">ORD-2025-0279</t>
  </si>
  <si>
    <t xml:space="preserve">ORD-2025-0280</t>
  </si>
  <si>
    <t xml:space="preserve">ORD-2025-0281</t>
  </si>
  <si>
    <t xml:space="preserve">ORD-2025-0282</t>
  </si>
  <si>
    <t xml:space="preserve">ORD-2025-0283</t>
  </si>
  <si>
    <t xml:space="preserve">ORD-2025-0284</t>
  </si>
  <si>
    <t xml:space="preserve">ORD-2025-0285</t>
  </si>
  <si>
    <t xml:space="preserve">ORD-2025-0286</t>
  </si>
  <si>
    <t xml:space="preserve">ORD-2025-0287</t>
  </si>
  <si>
    <t xml:space="preserve">ORD-2025-0288</t>
  </si>
  <si>
    <t xml:space="preserve">ORD-2025-0289</t>
  </si>
  <si>
    <t xml:space="preserve">ORD-2025-0290</t>
  </si>
  <si>
    <t xml:space="preserve">ORD-2025-0291</t>
  </si>
  <si>
    <t xml:space="preserve">ORD-2025-0292</t>
  </si>
  <si>
    <t xml:space="preserve">ORD-2025-0293</t>
  </si>
  <si>
    <t xml:space="preserve">ORD-2025-0294</t>
  </si>
  <si>
    <t xml:space="preserve">ORD-2025-0295</t>
  </si>
  <si>
    <t xml:space="preserve">ORD-2025-0296</t>
  </si>
  <si>
    <t xml:space="preserve">ORD-2025-0297</t>
  </si>
  <si>
    <t xml:space="preserve">ORD-2025-0298</t>
  </si>
  <si>
    <t xml:space="preserve">ORD-2025-0299</t>
  </si>
  <si>
    <t xml:space="preserve">ORD-2025-0300</t>
  </si>
  <si>
    <t xml:space="preserve">ORD-2025-0301</t>
  </si>
  <si>
    <t xml:space="preserve">ORD-2025-0302</t>
  </si>
  <si>
    <t xml:space="preserve">ORD-2025-0303</t>
  </si>
  <si>
    <t xml:space="preserve">ORD-2025-0304</t>
  </si>
  <si>
    <t xml:space="preserve">ORD-2025-0305</t>
  </si>
  <si>
    <t xml:space="preserve">ORD-2025-0306</t>
  </si>
  <si>
    <t xml:space="preserve">ORD-2025-0307</t>
  </si>
  <si>
    <t xml:space="preserve">ORD-2025-0308</t>
  </si>
  <si>
    <t xml:space="preserve">ORD-2025-0309</t>
  </si>
  <si>
    <t xml:space="preserve">ORD-2025-0310</t>
  </si>
  <si>
    <t xml:space="preserve">ORD-2025-0311</t>
  </si>
  <si>
    <t xml:space="preserve">ORD-2025-0312</t>
  </si>
  <si>
    <t xml:space="preserve">ORD-2025-0313</t>
  </si>
  <si>
    <t xml:space="preserve">ORD-2025-0314</t>
  </si>
  <si>
    <t xml:space="preserve">ORD-2025-0315</t>
  </si>
  <si>
    <t xml:space="preserve">ORD-2025-0316</t>
  </si>
  <si>
    <t xml:space="preserve">ORD-2025-0317</t>
  </si>
  <si>
    <t xml:space="preserve">ORD-2025-0318</t>
  </si>
  <si>
    <t xml:space="preserve">ORD-2025-0319</t>
  </si>
  <si>
    <t xml:space="preserve">ORD-2025-0320</t>
  </si>
  <si>
    <t xml:space="preserve">ORD-2025-0321</t>
  </si>
  <si>
    <t xml:space="preserve">ORD-2025-0322</t>
  </si>
  <si>
    <t xml:space="preserve">ORD-2025-0323</t>
  </si>
  <si>
    <t xml:space="preserve">ORD-2025-0324</t>
  </si>
  <si>
    <t xml:space="preserve">ORD-2025-0325</t>
  </si>
  <si>
    <t xml:space="preserve">ORD-2025-0326</t>
  </si>
  <si>
    <t xml:space="preserve">ORD-2025-0327</t>
  </si>
  <si>
    <t xml:space="preserve">ORD-2025-0328</t>
  </si>
  <si>
    <t xml:space="preserve">ORD-2025-0329</t>
  </si>
  <si>
    <t xml:space="preserve">ORD-2025-0330</t>
  </si>
  <si>
    <t xml:space="preserve">ORD-2025-0331</t>
  </si>
  <si>
    <t xml:space="preserve">ORD-2025-0332</t>
  </si>
  <si>
    <t xml:space="preserve">ORD-2025-0333</t>
  </si>
  <si>
    <t xml:space="preserve">ORD-2025-0334</t>
  </si>
  <si>
    <t xml:space="preserve">ORD-2025-0335</t>
  </si>
  <si>
    <t xml:space="preserve">ORD-2025-0336</t>
  </si>
  <si>
    <t xml:space="preserve">ORD-2025-0337</t>
  </si>
  <si>
    <t xml:space="preserve">ORD-2025-0338</t>
  </si>
  <si>
    <t xml:space="preserve">ORD-2025-0339</t>
  </si>
  <si>
    <t xml:space="preserve">ORD-2025-0340</t>
  </si>
  <si>
    <t xml:space="preserve">ORD-2025-0341</t>
  </si>
  <si>
    <t xml:space="preserve">ORD-2025-0342</t>
  </si>
  <si>
    <t xml:space="preserve">ORD-2025-0343</t>
  </si>
  <si>
    <t xml:space="preserve">ORD-2025-0344</t>
  </si>
  <si>
    <t xml:space="preserve">ORD-2025-0345</t>
  </si>
  <si>
    <t xml:space="preserve">ORD-2025-0346</t>
  </si>
  <si>
    <t xml:space="preserve">ORD-2025-0347</t>
  </si>
  <si>
    <t xml:space="preserve">ORD-2025-0348</t>
  </si>
  <si>
    <t xml:space="preserve">ORD-2025-0349</t>
  </si>
  <si>
    <t xml:space="preserve">ORD-2025-0350</t>
  </si>
  <si>
    <t xml:space="preserve">ORD-2025-0351</t>
  </si>
  <si>
    <t xml:space="preserve">ORD-2025-0352</t>
  </si>
  <si>
    <t xml:space="preserve">ORD-2025-0353</t>
  </si>
  <si>
    <t xml:space="preserve">ORD-2025-0354</t>
  </si>
  <si>
    <t xml:space="preserve">ORD-2025-0355</t>
  </si>
  <si>
    <t xml:space="preserve">ORD-2025-0356</t>
  </si>
  <si>
    <t xml:space="preserve">ORD-2025-0357</t>
  </si>
  <si>
    <t xml:space="preserve">ORD-2025-0358</t>
  </si>
  <si>
    <t xml:space="preserve">ORD-2025-0359</t>
  </si>
  <si>
    <t xml:space="preserve">ORD-2025-0360</t>
  </si>
  <si>
    <t xml:space="preserve">ORD-2025-0361</t>
  </si>
  <si>
    <t xml:space="preserve">ORD-2025-0362</t>
  </si>
  <si>
    <t xml:space="preserve">ORD-2025-0363</t>
  </si>
  <si>
    <t xml:space="preserve">ORD-2025-0364</t>
  </si>
  <si>
    <t xml:space="preserve">ORD-2025-0365</t>
  </si>
  <si>
    <t xml:space="preserve">ORD-2025-0366</t>
  </si>
  <si>
    <t xml:space="preserve">ORD-2025-0367</t>
  </si>
  <si>
    <t xml:space="preserve">ORD-2025-0368</t>
  </si>
  <si>
    <t xml:space="preserve">ORD-2025-0369</t>
  </si>
  <si>
    <t xml:space="preserve">ORD-2025-0370</t>
  </si>
  <si>
    <t xml:space="preserve">ORD-2025-0371</t>
  </si>
  <si>
    <t xml:space="preserve">ORD-2025-0372</t>
  </si>
  <si>
    <t xml:space="preserve">ORD-2025-0373</t>
  </si>
  <si>
    <t xml:space="preserve">ORD-2025-0374</t>
  </si>
  <si>
    <t xml:space="preserve">ORD-2025-0375</t>
  </si>
  <si>
    <t xml:space="preserve">ORD-2025-0376</t>
  </si>
  <si>
    <t xml:space="preserve">ORD-2025-0377</t>
  </si>
  <si>
    <t xml:space="preserve">ORD-2025-0378</t>
  </si>
  <si>
    <t xml:space="preserve">ORD-2025-0379</t>
  </si>
  <si>
    <t xml:space="preserve">ORD-2025-0380</t>
  </si>
  <si>
    <t xml:space="preserve">ORD-2025-0381</t>
  </si>
  <si>
    <t xml:space="preserve">ORD-2025-0382</t>
  </si>
  <si>
    <t xml:space="preserve">ORD-2025-0383</t>
  </si>
  <si>
    <t xml:space="preserve">ORD-2025-0384</t>
  </si>
  <si>
    <t xml:space="preserve">ORD-2025-0385</t>
  </si>
  <si>
    <t xml:space="preserve">ORD-2025-0386</t>
  </si>
  <si>
    <t xml:space="preserve">ORD-2025-0387</t>
  </si>
  <si>
    <t xml:space="preserve">ORD-2025-0388</t>
  </si>
  <si>
    <t xml:space="preserve">ORD-2025-0389</t>
  </si>
  <si>
    <t xml:space="preserve">ORD-2025-0390</t>
  </si>
  <si>
    <t xml:space="preserve">ORD-2025-0391</t>
  </si>
  <si>
    <t xml:space="preserve">ORD-2025-0392</t>
  </si>
  <si>
    <t xml:space="preserve">ORD-2025-0393</t>
  </si>
  <si>
    <t xml:space="preserve">ORD-2025-0394</t>
  </si>
  <si>
    <t xml:space="preserve">ORD-2025-0395</t>
  </si>
  <si>
    <t xml:space="preserve">ORD-2025-0396</t>
  </si>
  <si>
    <t xml:space="preserve">ORD-2025-0397</t>
  </si>
  <si>
    <t xml:space="preserve">ORD-2025-0398</t>
  </si>
  <si>
    <t xml:space="preserve">ORD-2025-0399</t>
  </si>
  <si>
    <t xml:space="preserve">ORD-2025-0400</t>
  </si>
  <si>
    <t xml:space="preserve">ORD-2025-0401</t>
  </si>
  <si>
    <t xml:space="preserve">ORD-2025-0402</t>
  </si>
  <si>
    <t xml:space="preserve">ORD-2025-0403</t>
  </si>
  <si>
    <t xml:space="preserve">ORD-2025-0404</t>
  </si>
  <si>
    <t xml:space="preserve">ORD-2025-0405</t>
  </si>
  <si>
    <t xml:space="preserve">ORD-2025-0406</t>
  </si>
  <si>
    <t xml:space="preserve">ORD-2025-0407</t>
  </si>
  <si>
    <t xml:space="preserve">ORD-2025-0408</t>
  </si>
  <si>
    <t xml:space="preserve">ORD-2025-0409</t>
  </si>
  <si>
    <t xml:space="preserve">ORD-2025-0410</t>
  </si>
  <si>
    <t xml:space="preserve">ORD-2025-0411</t>
  </si>
  <si>
    <t xml:space="preserve">ORD-2025-0412</t>
  </si>
  <si>
    <t xml:space="preserve">ORD-2025-0413</t>
  </si>
  <si>
    <t xml:space="preserve">ORD-2025-0414</t>
  </si>
  <si>
    <t xml:space="preserve">ORD-2025-0415</t>
  </si>
  <si>
    <t xml:space="preserve">ORD-2025-0416</t>
  </si>
  <si>
    <t xml:space="preserve">ORD-2025-0417</t>
  </si>
  <si>
    <t xml:space="preserve">ORD-2025-0418</t>
  </si>
  <si>
    <t xml:space="preserve">ORD-2025-0419</t>
  </si>
  <si>
    <t xml:space="preserve">ORD-2025-0420</t>
  </si>
  <si>
    <t xml:space="preserve">ORD-2025-0421</t>
  </si>
  <si>
    <t xml:space="preserve">ORD-2025-0422</t>
  </si>
  <si>
    <t xml:space="preserve">ORD-2025-0423</t>
  </si>
  <si>
    <t xml:space="preserve">ORD-2025-0424</t>
  </si>
  <si>
    <t xml:space="preserve">ORD-2025-0425</t>
  </si>
  <si>
    <t xml:space="preserve">ORD-2025-0426</t>
  </si>
  <si>
    <t xml:space="preserve">ORD-2025-0427</t>
  </si>
  <si>
    <t xml:space="preserve">ORD-2025-0428</t>
  </si>
  <si>
    <t xml:space="preserve">ORD-2025-0429</t>
  </si>
  <si>
    <t xml:space="preserve">ORD-2025-0430</t>
  </si>
  <si>
    <t xml:space="preserve">ORD-2025-0431</t>
  </si>
  <si>
    <t xml:space="preserve">ORD-2025-0432</t>
  </si>
  <si>
    <t xml:space="preserve">ORD-2025-0433</t>
  </si>
  <si>
    <t xml:space="preserve">ORD-2025-0434</t>
  </si>
  <si>
    <t xml:space="preserve">ORD-2025-0435</t>
  </si>
  <si>
    <t xml:space="preserve">ORD-2025-0436</t>
  </si>
  <si>
    <t xml:space="preserve">ORD-2025-0437</t>
  </si>
  <si>
    <t xml:space="preserve">ORD-2025-0438</t>
  </si>
  <si>
    <t xml:space="preserve">ORD-2025-0439</t>
  </si>
  <si>
    <t xml:space="preserve">ORD-2025-0440</t>
  </si>
  <si>
    <t xml:space="preserve">ORD-2025-0441</t>
  </si>
  <si>
    <t xml:space="preserve">ORD-2025-0442</t>
  </si>
  <si>
    <t xml:space="preserve">ORD-2025-0443</t>
  </si>
  <si>
    <t xml:space="preserve">ORD-2025-0444</t>
  </si>
  <si>
    <t xml:space="preserve">ORD-2025-0445</t>
  </si>
  <si>
    <t xml:space="preserve">ORD-2025-0446</t>
  </si>
  <si>
    <t xml:space="preserve">ORD-2025-0447</t>
  </si>
  <si>
    <t xml:space="preserve">ORD-2025-0448</t>
  </si>
  <si>
    <t xml:space="preserve">ORD-2025-0449</t>
  </si>
  <si>
    <t xml:space="preserve">ORD-2025-0450</t>
  </si>
  <si>
    <t xml:space="preserve">ORD-2025-0451</t>
  </si>
  <si>
    <t xml:space="preserve">ORD-2025-0452</t>
  </si>
  <si>
    <t xml:space="preserve">ORD-2025-0453</t>
  </si>
  <si>
    <t xml:space="preserve">ORD-2025-0454</t>
  </si>
  <si>
    <t xml:space="preserve">ORD-2025-0455</t>
  </si>
  <si>
    <t xml:space="preserve">ORD-2025-0456</t>
  </si>
  <si>
    <t xml:space="preserve">ORD-2025-0457</t>
  </si>
  <si>
    <t xml:space="preserve">ORD-2025-0458</t>
  </si>
  <si>
    <t xml:space="preserve">ORD-2025-0459</t>
  </si>
  <si>
    <t xml:space="preserve">ORD-2025-0460</t>
  </si>
  <si>
    <t xml:space="preserve">ORD-2025-0461</t>
  </si>
  <si>
    <t xml:space="preserve">ORD-2025-0462</t>
  </si>
  <si>
    <t xml:space="preserve">ORD-2025-0463</t>
  </si>
  <si>
    <t xml:space="preserve">ORD-2025-0464</t>
  </si>
  <si>
    <t xml:space="preserve">ORD-2025-0465</t>
  </si>
  <si>
    <t xml:space="preserve">ORD-2025-0466</t>
  </si>
  <si>
    <t xml:space="preserve">ORD-2025-0467</t>
  </si>
  <si>
    <t xml:space="preserve">ORD-2025-0468</t>
  </si>
  <si>
    <t xml:space="preserve">ORD-2025-0469</t>
  </si>
  <si>
    <t xml:space="preserve">ORD-2025-0470</t>
  </si>
  <si>
    <t xml:space="preserve">ORD-2025-0471</t>
  </si>
  <si>
    <t xml:space="preserve">ORD-2025-0472</t>
  </si>
  <si>
    <t xml:space="preserve">ORD-2025-0473</t>
  </si>
  <si>
    <t xml:space="preserve">ORD-2025-0474</t>
  </si>
  <si>
    <t xml:space="preserve">ORD-2025-0475</t>
  </si>
  <si>
    <t xml:space="preserve">ORD-2025-0476</t>
  </si>
  <si>
    <t xml:space="preserve">ORD-2025-0477</t>
  </si>
  <si>
    <t xml:space="preserve">ORD-2025-0478</t>
  </si>
  <si>
    <t xml:space="preserve">ORD-2025-0479</t>
  </si>
  <si>
    <t xml:space="preserve">ORD-2025-0480</t>
  </si>
  <si>
    <t xml:space="preserve">Unit Price (₹)</t>
  </si>
  <si>
    <t xml:space="preserve">Unit Cost (₹)</t>
  </si>
  <si>
    <t xml:space="preserve">Stationery</t>
  </si>
  <si>
    <t xml:space="preserve">Furniture</t>
  </si>
  <si>
    <t xml:space="preserve">Electronics</t>
  </si>
  <si>
    <t xml:space="preserve">Pantry</t>
  </si>
  <si>
    <t xml:space="preserve">Assumption: unit prices and costs are assumed sample values for a fictional office-supplies distributor (not real company data). Add new products in rows 14-50 and they are picked up automatically.</t>
  </si>
  <si>
    <t xml:space="preserve">Months</t>
  </si>
  <si>
    <t xml:space="preserve">Regions</t>
  </si>
  <si>
    <t xml:space="preserve">Salespersons</t>
  </si>
  <si>
    <t xml:space="preserve">Person's Region</t>
  </si>
  <si>
    <t xml:space="preserve">Categories</t>
  </si>
  <si>
    <t xml:space="preserve">Sales - selected month (helper)</t>
  </si>
  <si>
    <t xml:space="preserve">Orders - selected month (helper)</t>
  </si>
  <si>
    <t xml:space="preserve">Rank (helper)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</si>
  <si>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</si>
  <si>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</si>
  <si>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</si>
  <si>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</si>
  <si>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</si>
  <si>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</si>
  <si>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</si>
  <si>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</si>
  <si>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October</t>
  </si>
  <si>
    <t xml:space="preserve">November</t>
  </si>
  <si>
    <t xml:space="preserve">December</t>
  </si>
  <si>
    <t xml:space="preserve">Blue = editable lists used by dropdowns and tables. Columns F-H are helper formulas for the Top 5 table (do not edit).</t>
  </si>
  <si>
    <t xml:space="preserve">Data Validation Checks</t>
  </si>
  <si>
    <t xml:space="preserve">Overall status:</t>
  </si>
  <si>
    <t xml:space="preserve">Check</t>
  </si>
  <si>
    <t xml:space="preserve">Result</t>
  </si>
  <si>
    <t xml:space="preserve">Status</t>
  </si>
  <si>
    <t xml:space="preserve">What it means</t>
  </si>
  <si>
    <t xml:space="preserve">Total order records</t>
  </si>
  <si>
    <t xml:space="preserve">Number of orders loaded in the Data sheet (must be above 0).</t>
  </si>
  <si>
    <t xml:space="preserve">Orders with missing date</t>
  </si>
  <si>
    <t xml:space="preserve">Order ID present but Order Date blank.</t>
  </si>
  <si>
    <t xml:space="preserve">Orders with missing region or salesperson</t>
  </si>
  <si>
    <t xml:space="preserve">Region or Salesperson left blank.</t>
  </si>
  <si>
    <t xml:space="preserve">Orders with missing product or quantity</t>
  </si>
  <si>
    <t xml:space="preserve">Product or Qty left blank.</t>
  </si>
  <si>
    <t xml:space="preserve">Duplicate order IDs</t>
  </si>
  <si>
    <t xml:space="preserve">Same Order ID entered more than once.</t>
  </si>
  <si>
    <t xml:space="preserve">Quantity zero or negative</t>
  </si>
  <si>
    <t xml:space="preserve">Qty must be a positive number.</t>
  </si>
  <si>
    <t xml:space="preserve">Discount outside 0%-50%</t>
  </si>
  <si>
    <t xml:space="preserve">Discount looks wrong (negative or above 50%).</t>
  </si>
  <si>
    <t xml:space="preserve">Products missing from Products sheet</t>
  </si>
  <si>
    <t xml:space="preserve">Product name not found in the product master, so price and cost are 0.</t>
  </si>
  <si>
    <t xml:space="preserve">Order dates outside the report year</t>
  </si>
  <si>
    <t xml:space="preserve">Dates that fall outside the year chosen on the Dashboard.</t>
  </si>
  <si>
    <t xml:space="preserve">Region total minus KPI total (selected month)</t>
  </si>
  <si>
    <t xml:space="preserve">Reconciliation: region table must equal Total Sales.</t>
  </si>
  <si>
    <t xml:space="preserve">Category total minus KPI total (selected month)</t>
  </si>
  <si>
    <t xml:space="preserve">Reconciliation: category table must equal Total Sales.</t>
  </si>
  <si>
    <t xml:space="preserve">Monthly summary total minus all Data sales</t>
  </si>
  <si>
    <t xml:space="preserve">Reconciliation: yearly total must equal the sum of all orders.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</si>
</sst>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"/>
    <numFmt numFmtId="166" formatCode="\₹#,##0"/>
    <numFmt numFmtId="167" formatCode="0.0%"/>
    <numFmt numFmtId="168" formatCode="#,##0"/>
    <numFmt numFmtId="169" formatCode="\+0.0%;\-0.0%;0.0%"/>
    <numFmt numFmtId="170" formatCode="dd\-mmm\-yyyy"/>
    <numFmt numFmtId="171" formatCode="0%"/>
    <numFmt numFmtId="172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CE6F1"/>
        <bgColor rgb="FFD9D9D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C00000"/>
        <sz val="16"/>
      </font>
    </dxf>
    <dxf>
      <font>
        <name val="Arial"/>
        <charset val="1"/>
        <family val="0"/>
        <b val="1"/>
        <color rgb="FF00803C"/>
        <sz val="16"/>
      </font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03C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3C"/>
      <rgbColor rgb="FF000080"/>
      <rgbColor rgb="FF808000"/>
      <rgbColor rgb="FF800080"/>
      <rgbColor rgb="FF008080"/>
      <rgbColor rgb="FFBFBFBF"/>
      <rgbColor rgb="FF7F7F7F"/>
      <rgbColor rgb="FF8EA9DB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61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(full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Monthly_Summary!E4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2f5597"/>
            </a:solidFill>
            <a:ln w="284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Monthly_Summary!$E$5:$E$16</c:f>
              <c:numCache>
                <c:formatCode>\₹#,##0</c:formatCode>
                <c:ptCount val="12"/>
                <c:pt idx="0">
                  <c:v>623474.5</c:v>
                </c:pt>
                <c:pt idx="1">
                  <c:v>874378.5</c:v>
                </c:pt>
                <c:pt idx="2">
                  <c:v>1350719.5</c:v>
                </c:pt>
                <c:pt idx="3">
                  <c:v>1348972.5</c:v>
                </c:pt>
                <c:pt idx="4">
                  <c:v>1061494</c:v>
                </c:pt>
                <c:pt idx="5">
                  <c:v>965288.5</c:v>
                </c:pt>
                <c:pt idx="6">
                  <c:v>976837</c:v>
                </c:pt>
                <c:pt idx="7">
                  <c:v>1470164.5</c:v>
                </c:pt>
                <c:pt idx="8">
                  <c:v>1598769</c:v>
                </c:pt>
                <c:pt idx="9">
                  <c:v>3096570</c:v>
                </c:pt>
                <c:pt idx="10">
                  <c:v>2434754</c:v>
                </c:pt>
                <c:pt idx="11">
                  <c:v>1772546.5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55043"/>
        <c:axId val="60858363"/>
      </c:lineChart>
      <c:catAx>
        <c:axId val="28055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8363"/>
        <c:crosses val="autoZero"/>
        <c:auto val="1"/>
        <c:lblAlgn val="ctr"/>
        <c:lblOffset val="100"/>
        <c:noMultiLvlLbl val="0"/>
      </c:catAx>
      <c:valAx>
        <c:axId val="60858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550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Dashboard!$C$14:$C$17</c:f>
              <c:numCache>
                <c:formatCode>\₹#,##0</c:formatCode>
                <c:ptCount val="4"/>
                <c:pt idx="0">
                  <c:v>733193</c:v>
                </c:pt>
                <c:pt idx="1">
                  <c:v>624972</c:v>
                </c:pt>
                <c:pt idx="2">
                  <c:v>83074</c:v>
                </c:pt>
                <c:pt idx="3">
                  <c:v>157530</c:v>
                </c:pt>
              </c:numCache>
            </c:numRef>
          </c:val>
        </c:ser>
        <c:gapWidth val="150"/>
        <c:overlap val="0"/>
        <c:axId val="34901821"/>
        <c:axId val="21116485"/>
      </c:barChart>
      <c:catAx>
        <c:axId val="349018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16485"/>
        <c:crosses val="autoZero"/>
        <c:auto val="1"/>
        <c:lblAlgn val="ctr"/>
        <c:lblOffset val="100"/>
        <c:noMultiLvlLbl val="0"/>
      </c:catAx>
      <c:valAx>
        <c:axId val="21116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01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6</xdr:col>
      <xdr:colOff>537840</xdr:colOff>
      <xdr:row>44</xdr:row>
      <xdr:rowOff>21960</xdr:rowOff>
    </xdr:to>
    <xdr:graphicFrame>
      <xdr:nvGraphicFramePr>
        <xdr:cNvPr id="0" name="Chart 1"/>
        <xdr:cNvGraphicFramePr/>
      </xdr:nvGraphicFramePr>
      <xdr:xfrm>
        <a:off x="141120" y="611496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537480</xdr:colOff>
      <xdr:row>44</xdr:row>
      <xdr:rowOff>21960</xdr:rowOff>
    </xdr:to>
    <xdr:graphicFrame>
      <xdr:nvGraphicFramePr>
        <xdr:cNvPr id="1" name="Chart 2"/>
        <xdr:cNvGraphicFramePr/>
      </xdr:nvGraphicFramePr>
      <xdr:xfrm>
        <a:off x="6061680" y="611496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5" t="s">
        <v>4</v>
      </c>
    </row>
    <row r="7" customFormat="false" ht="31.5" hidden="false" customHeight="true" outlineLevel="0" collapsed="false">
      <c r="B7" s="4" t="s">
        <v>5</v>
      </c>
      <c r="C7" s="5" t="s">
        <v>6</v>
      </c>
    </row>
    <row r="8" customFormat="false" ht="31.5" hidden="false" customHeight="true" outlineLevel="0" collapsed="false">
      <c r="B8" s="4" t="s">
        <v>7</v>
      </c>
      <c r="C8" s="5" t="s">
        <v>8</v>
      </c>
    </row>
    <row r="9" customFormat="false" ht="31.5" hidden="false" customHeight="true" outlineLevel="0" collapsed="false">
      <c r="B9" s="4" t="s">
        <v>9</v>
      </c>
      <c r="C9" s="5" t="s">
        <v>10</v>
      </c>
    </row>
    <row r="10" customFormat="false" ht="31.5" hidden="false" customHeight="true" outlineLevel="0" collapsed="false">
      <c r="B10" s="4" t="s">
        <v>11</v>
      </c>
      <c r="C10" s="5" t="s">
        <v>12</v>
      </c>
    </row>
    <row r="11" customFormat="false" ht="31.5" hidden="false" customHeight="true" outlineLevel="0" collapsed="false">
      <c r="B11" s="4" t="s">
        <v>13</v>
      </c>
      <c r="C11" s="5" t="s">
        <v>14</v>
      </c>
    </row>
    <row r="12" customFormat="false" ht="31.5" hidden="false" customHeight="true" outlineLevel="0" collapsed="false">
      <c r="B12" s="4" t="s">
        <v>15</v>
      </c>
      <c r="C12" s="5" t="s">
        <v>16</v>
      </c>
    </row>
    <row r="14" customFormat="false" ht="15" hidden="false" customHeight="false" outlineLevel="0" collapsed="false">
      <c r="B14" s="3" t="s">
        <v>17</v>
      </c>
    </row>
    <row r="15" customFormat="false" ht="15" hidden="false" customHeight="true" outlineLevel="0" collapsed="false">
      <c r="B15" s="6" t="s">
        <v>18</v>
      </c>
      <c r="C15" s="6"/>
    </row>
    <row r="16" customFormat="false" ht="15" hidden="false" customHeight="true" outlineLevel="0" collapsed="false">
      <c r="B16" s="6" t="s">
        <v>19</v>
      </c>
      <c r="C16" s="6"/>
    </row>
    <row r="17" customFormat="false" ht="15" hidden="false" customHeight="true" outlineLevel="0" collapsed="false">
      <c r="B17" s="6" t="s">
        <v>20</v>
      </c>
      <c r="C17" s="6"/>
    </row>
    <row r="18" customFormat="false" ht="15" hidden="false" customHeight="true" outlineLevel="0" collapsed="false">
      <c r="B18" s="6" t="s">
        <v>21</v>
      </c>
      <c r="C18" s="6"/>
    </row>
    <row r="20" customFormat="false" ht="15" hidden="false" customHeight="false" outlineLevel="0" collapsed="false">
      <c r="B20" s="3" t="s">
        <v>22</v>
      </c>
    </row>
    <row r="21" customFormat="false" ht="15" hidden="false" customHeight="false" outlineLevel="0" collapsed="false">
      <c r="B21" s="7" t="s">
        <v>23</v>
      </c>
      <c r="C21" s="8" t="s">
        <v>24</v>
      </c>
    </row>
    <row r="22" customFormat="false" ht="15" hidden="false" customHeight="false" outlineLevel="0" collapsed="false">
      <c r="B22" s="9" t="s">
        <v>25</v>
      </c>
      <c r="C22" s="8" t="s">
        <v>26</v>
      </c>
    </row>
    <row r="23" customFormat="false" ht="15" hidden="false" customHeight="false" outlineLevel="0" collapsed="false">
      <c r="B23" s="10" t="s">
        <v>27</v>
      </c>
      <c r="C23" s="8" t="s">
        <v>28</v>
      </c>
    </row>
    <row r="25" customFormat="false" ht="15" hidden="false" customHeight="false" outlineLevel="0" collapsed="false">
      <c r="B25" s="3" t="s">
        <v>29</v>
      </c>
    </row>
    <row r="26" customFormat="false" ht="31.5" hidden="false" customHeight="true" outlineLevel="0" collapsed="false">
      <c r="B26" s="6" t="s">
        <v>30</v>
      </c>
      <c r="C26" s="6"/>
    </row>
  </sheetData>
  <mergeCells count="5">
    <mergeCell ref="B15:C15"/>
    <mergeCell ref="B16:C16"/>
    <mergeCell ref="B17:C17"/>
    <mergeCell ref="B18:C18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M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</cols>
  <sheetData>
    <row r="2" customFormat="false" ht="36" hidden="false" customHeight="true" outlineLevel="0" collapsed="false">
      <c r="B2" s="11" t="s">
        <v>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B3" s="12" t="s">
        <v>32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customFormat="false" ht="15" hidden="false" customHeight="false" outlineLevel="0" collapsed="false">
      <c r="B5" s="9" t="s">
        <v>33</v>
      </c>
      <c r="C5" s="13" t="n">
        <v>2025</v>
      </c>
      <c r="E5" s="9" t="s">
        <v>34</v>
      </c>
      <c r="F5" s="13" t="s">
        <v>35</v>
      </c>
      <c r="H5" s="9" t="s">
        <v>36</v>
      </c>
      <c r="I5" s="14" t="str">
        <f aca="false">TEXT(C6,"dd-mmm-yyyy")&amp;" to "&amp;TEXT(F6,"dd-mmm-yyyy")</f>
        <v>01-Sep-2025 to 30-Sep-2025</v>
      </c>
      <c r="J5" s="14"/>
      <c r="K5" s="14"/>
    </row>
    <row r="6" customFormat="false" ht="15" hidden="false" customHeight="false" outlineLevel="0" collapsed="false">
      <c r="B6" s="15" t="s">
        <v>37</v>
      </c>
      <c r="C6" s="16" t="n">
        <f aca="false">DATE(C5,MATCH(F5,Lists!$A$2:$A$13,0),1)</f>
        <v>45901</v>
      </c>
      <c r="E6" s="15" t="s">
        <v>38</v>
      </c>
      <c r="F6" s="16" t="n">
        <f aca="false">EOMONTH(C6,0)</f>
        <v>45930</v>
      </c>
      <c r="H6" s="15" t="s">
        <v>39</v>
      </c>
      <c r="I6" s="16" t="n">
        <f aca="false">EDATE(C6,-1)</f>
        <v>45870</v>
      </c>
    </row>
    <row r="8" customFormat="false" ht="19.5" hidden="false" customHeight="true" outlineLevel="0" collapsed="false">
      <c r="B8" s="17" t="s">
        <v>40</v>
      </c>
      <c r="C8" s="17"/>
      <c r="D8" s="17" t="s">
        <v>41</v>
      </c>
      <c r="E8" s="17"/>
      <c r="F8" s="17" t="s">
        <v>42</v>
      </c>
      <c r="G8" s="17"/>
      <c r="H8" s="17" t="s">
        <v>43</v>
      </c>
      <c r="I8" s="17"/>
      <c r="J8" s="17" t="s">
        <v>44</v>
      </c>
      <c r="K8" s="17"/>
      <c r="L8" s="17" t="s">
        <v>45</v>
      </c>
      <c r="M8" s="17"/>
    </row>
    <row r="9" customFormat="false" ht="36" hidden="false" customHeight="true" outlineLevel="0" collapsed="false">
      <c r="B9" s="18" t="n">
        <f aca="false">SUMIFS(Data!$K$2:$K$1000,Data!$B$2:$B$1000,"&gt;="&amp;$C$6,Data!$B$2:$B$1000,"&lt;="&amp;$F$6)</f>
        <v>1598769</v>
      </c>
      <c r="C9" s="18"/>
      <c r="D9" s="18" t="n">
        <f aca="false">SUMIFS(Data!$M$2:$M$1000,Data!$B$2:$B$1000,"&gt;="&amp;$C$6,Data!$B$2:$B$1000,"&lt;="&amp;$F$6)</f>
        <v>373269</v>
      </c>
      <c r="E9" s="18"/>
      <c r="F9" s="19" t="n">
        <f aca="false">IF(B9=0,0,D9/B9)</f>
        <v>0.233472753099416</v>
      </c>
      <c r="G9" s="19"/>
      <c r="H9" s="20" t="n">
        <f aca="false">COUNTIFS(Data!$B$2:$B$1000,"&gt;="&amp;$C$6,Data!$B$2:$B$1000,"&lt;="&amp;$F$6)</f>
        <v>43</v>
      </c>
      <c r="I9" s="20"/>
      <c r="J9" s="18" t="n">
        <f aca="false">IF(H9=0,0,B9/H9)</f>
        <v>37180.6744186047</v>
      </c>
      <c r="K9" s="18"/>
      <c r="L9" s="21" t="n">
        <f aca="false">IF(SUMIFS(Data!$K$2:$K$1000,Data!$B$2:$B$1000,"&gt;="&amp;$I$6,Data!$B$2:$B$1000,"&lt;="&amp;EOMONTH($I$6,0))=0,"N/A",B9/SUMIFS(Data!$K$2:$K$1000,Data!$B$2:$B$1000,"&gt;="&amp;$I$6,Data!$B$2:$B$1000,"&lt;="&amp;EOMONTH($I$6,0))-1)</f>
        <v>0.0874762654111156</v>
      </c>
      <c r="M9" s="21"/>
    </row>
    <row r="12" customFormat="false" ht="15" hidden="false" customHeight="false" outlineLevel="0" collapsed="false">
      <c r="B12" s="3" t="s">
        <v>46</v>
      </c>
      <c r="H12" s="3" t="s">
        <v>47</v>
      </c>
    </row>
    <row r="13" customFormat="false" ht="15" hidden="false" customHeight="false" outlineLevel="0" collapsed="false">
      <c r="B13" s="22" t="s">
        <v>48</v>
      </c>
      <c r="C13" s="22" t="s">
        <v>49</v>
      </c>
      <c r="D13" s="22" t="s">
        <v>50</v>
      </c>
      <c r="E13" s="22" t="s">
        <v>51</v>
      </c>
      <c r="F13" s="22" t="s">
        <v>52</v>
      </c>
      <c r="H13" s="22" t="s">
        <v>53</v>
      </c>
      <c r="I13" s="22" t="s">
        <v>49</v>
      </c>
      <c r="J13" s="22" t="s">
        <v>50</v>
      </c>
      <c r="K13" s="22" t="s">
        <v>51</v>
      </c>
      <c r="L13" s="22" t="s">
        <v>52</v>
      </c>
    </row>
    <row r="14" customFormat="false" ht="15" hidden="false" customHeight="false" outlineLevel="0" collapsed="false">
      <c r="B14" s="23" t="str">
        <f aca="false">Lists!B2</f>
        <v>North</v>
      </c>
      <c r="C14" s="24" t="n">
        <f aca="false">SUMIFS(Data!$K$2:$K$1000,Data!$C$2:$C$1000,$B14,Data!$B$2:$B$1000,"&gt;="&amp;$C$6,Data!$B$2:$B$1000,"&lt;="&amp;$F$6)</f>
        <v>733193</v>
      </c>
      <c r="D14" s="24" t="n">
        <f aca="false">SUMIFS(Data!$M$2:$M$1000,Data!$C$2:$C$1000,$B14,Data!$B$2:$B$1000,"&gt;="&amp;$C$6,Data!$B$2:$B$1000,"&lt;="&amp;$F$6)</f>
        <v>174723</v>
      </c>
      <c r="E14" s="25" t="n">
        <f aca="false">IF(C14=0,0,D14/C14)</f>
        <v>0.238304239129397</v>
      </c>
      <c r="F14" s="25" t="n">
        <f aca="false">IF($C$18=0,0,C14/$C$18)</f>
        <v>0.458598459189539</v>
      </c>
      <c r="H14" s="23" t="str">
        <f aca="false">Lists!E2</f>
        <v>Stationery</v>
      </c>
      <c r="I14" s="24" t="n">
        <f aca="false">SUMIFS(Data!$K$2:$K$1000,Data!$H$2:$H$1000,$H14,Data!$B$2:$B$1000,"&gt;="&amp;$C$6,Data!$B$2:$B$1000,"&lt;="&amp;$F$6)</f>
        <v>422879</v>
      </c>
      <c r="J14" s="24" t="n">
        <f aca="false">SUMIFS(Data!$M$2:$M$1000,Data!$H$2:$H$1000,$H14,Data!$B$2:$B$1000,"&gt;="&amp;$C$6,Data!$B$2:$B$1000,"&lt;="&amp;$F$6)</f>
        <v>109779</v>
      </c>
      <c r="K14" s="25" t="n">
        <f aca="false">IF(I14=0,0,J14/I14)</f>
        <v>0.259599081533961</v>
      </c>
      <c r="L14" s="25" t="n">
        <f aca="false">IF($I$18=0,0,I14/$I$18)</f>
        <v>0.264502876900916</v>
      </c>
    </row>
    <row r="15" customFormat="false" ht="15" hidden="false" customHeight="false" outlineLevel="0" collapsed="false">
      <c r="B15" s="23" t="str">
        <f aca="false">Lists!B3</f>
        <v>South</v>
      </c>
      <c r="C15" s="24" t="n">
        <f aca="false">SUMIFS(Data!$K$2:$K$1000,Data!$C$2:$C$1000,$B15,Data!$B$2:$B$1000,"&gt;="&amp;$C$6,Data!$B$2:$B$1000,"&lt;="&amp;$F$6)</f>
        <v>624972</v>
      </c>
      <c r="D15" s="24" t="n">
        <f aca="false">SUMIFS(Data!$M$2:$M$1000,Data!$C$2:$C$1000,$B15,Data!$B$2:$B$1000,"&gt;="&amp;$C$6,Data!$B$2:$B$1000,"&lt;="&amp;$F$6)</f>
        <v>148742</v>
      </c>
      <c r="E15" s="25" t="n">
        <f aca="false">IF(C15=0,0,D15/C15)</f>
        <v>0.237997862304231</v>
      </c>
      <c r="F15" s="25" t="n">
        <f aca="false">IF($C$18=0,0,C15/$C$18)</f>
        <v>0.39090825503872</v>
      </c>
      <c r="H15" s="23" t="str">
        <f aca="false">Lists!E3</f>
        <v>Furniture</v>
      </c>
      <c r="I15" s="24" t="n">
        <f aca="false">SUMIFS(Data!$K$2:$K$1000,Data!$H$2:$H$1000,$H15,Data!$B$2:$B$1000,"&gt;="&amp;$C$6,Data!$B$2:$B$1000,"&lt;="&amp;$F$6)</f>
        <v>315090</v>
      </c>
      <c r="J15" s="24" t="n">
        <f aca="false">SUMIFS(Data!$M$2:$M$1000,Data!$H$2:$H$1000,$H15,Data!$B$2:$B$1000,"&gt;="&amp;$C$6,Data!$B$2:$B$1000,"&lt;="&amp;$F$6)</f>
        <v>61690</v>
      </c>
      <c r="K15" s="25" t="n">
        <f aca="false">IF(I15=0,0,J15/I15)</f>
        <v>0.19578533117522</v>
      </c>
      <c r="L15" s="25" t="n">
        <f aca="false">IF($I$18=0,0,I15/$I$18)</f>
        <v>0.197082880641293</v>
      </c>
    </row>
    <row r="16" customFormat="false" ht="15" hidden="false" customHeight="false" outlineLevel="0" collapsed="false">
      <c r="B16" s="23" t="str">
        <f aca="false">Lists!B4</f>
        <v>East</v>
      </c>
      <c r="C16" s="24" t="n">
        <f aca="false">SUMIFS(Data!$K$2:$K$1000,Data!$C$2:$C$1000,$B16,Data!$B$2:$B$1000,"&gt;="&amp;$C$6,Data!$B$2:$B$1000,"&lt;="&amp;$F$6)</f>
        <v>83074</v>
      </c>
      <c r="D16" s="24" t="n">
        <f aca="false">SUMIFS(Data!$M$2:$M$1000,Data!$C$2:$C$1000,$B16,Data!$B$2:$B$1000,"&gt;="&amp;$C$6,Data!$B$2:$B$1000,"&lt;="&amp;$F$6)</f>
        <v>19374</v>
      </c>
      <c r="E16" s="25" t="n">
        <f aca="false">IF(C16=0,0,D16/C16)</f>
        <v>0.233213761224932</v>
      </c>
      <c r="F16" s="25" t="n">
        <f aca="false">IF($C$18=0,0,C16/$C$18)</f>
        <v>0.0519612276695383</v>
      </c>
      <c r="H16" s="23" t="str">
        <f aca="false">Lists!E4</f>
        <v>Electronics</v>
      </c>
      <c r="I16" s="24" t="n">
        <f aca="false">SUMIFS(Data!$K$2:$K$1000,Data!$H$2:$H$1000,$H16,Data!$B$2:$B$1000,"&gt;="&amp;$C$6,Data!$B$2:$B$1000,"&lt;="&amp;$F$6)</f>
        <v>343825</v>
      </c>
      <c r="J16" s="24" t="n">
        <f aca="false">SUMIFS(Data!$M$2:$M$1000,Data!$H$2:$H$1000,$H16,Data!$B$2:$B$1000,"&gt;="&amp;$C$6,Data!$B$2:$B$1000,"&lt;="&amp;$F$6)</f>
        <v>76825</v>
      </c>
      <c r="K16" s="25" t="n">
        <f aca="false">IF(I16=0,0,J16/I16)</f>
        <v>0.223442158074602</v>
      </c>
      <c r="L16" s="25" t="n">
        <f aca="false">IF($I$18=0,0,I16/$I$18)</f>
        <v>0.215056083774454</v>
      </c>
    </row>
    <row r="17" customFormat="false" ht="15" hidden="false" customHeight="false" outlineLevel="0" collapsed="false">
      <c r="B17" s="23" t="str">
        <f aca="false">Lists!B5</f>
        <v>West</v>
      </c>
      <c r="C17" s="24" t="n">
        <f aca="false">SUMIFS(Data!$K$2:$K$1000,Data!$C$2:$C$1000,$B17,Data!$B$2:$B$1000,"&gt;="&amp;$C$6,Data!$B$2:$B$1000,"&lt;="&amp;$F$6)</f>
        <v>157530</v>
      </c>
      <c r="D17" s="24" t="n">
        <f aca="false">SUMIFS(Data!$M$2:$M$1000,Data!$C$2:$C$1000,$B17,Data!$B$2:$B$1000,"&gt;="&amp;$C$6,Data!$B$2:$B$1000,"&lt;="&amp;$F$6)</f>
        <v>30430</v>
      </c>
      <c r="E17" s="25" t="n">
        <f aca="false">IF(C17=0,0,D17/C17)</f>
        <v>0.193169555005396</v>
      </c>
      <c r="F17" s="25" t="n">
        <f aca="false">IF($C$18=0,0,C17/$C$18)</f>
        <v>0.0985320581022024</v>
      </c>
      <c r="H17" s="23" t="str">
        <f aca="false">Lists!E5</f>
        <v>Pantry</v>
      </c>
      <c r="I17" s="24" t="n">
        <f aca="false">SUMIFS(Data!$K$2:$K$1000,Data!$H$2:$H$1000,$H17,Data!$B$2:$B$1000,"&gt;="&amp;$C$6,Data!$B$2:$B$1000,"&lt;="&amp;$F$6)</f>
        <v>516975</v>
      </c>
      <c r="J17" s="24" t="n">
        <f aca="false">SUMIFS(Data!$M$2:$M$1000,Data!$H$2:$H$1000,$H17,Data!$B$2:$B$1000,"&gt;="&amp;$C$6,Data!$B$2:$B$1000,"&lt;="&amp;$F$6)</f>
        <v>124975</v>
      </c>
      <c r="K17" s="25" t="n">
        <f aca="false">IF(I17=0,0,J17/I17)</f>
        <v>0.241742830891242</v>
      </c>
      <c r="L17" s="25" t="n">
        <f aca="false">IF($I$18=0,0,I17/$I$18)</f>
        <v>0.323358158683337</v>
      </c>
    </row>
    <row r="18" customFormat="false" ht="15" hidden="false" customHeight="false" outlineLevel="0" collapsed="false">
      <c r="B18" s="26" t="s">
        <v>54</v>
      </c>
      <c r="C18" s="27" t="n">
        <f aca="false">SUM(C14:C17)</f>
        <v>1598769</v>
      </c>
      <c r="D18" s="27" t="n">
        <f aca="false">SUM(D14:D17)</f>
        <v>373269</v>
      </c>
      <c r="E18" s="28" t="n">
        <f aca="false">IF(C18=0,0,D18/C18)</f>
        <v>0.233472753099416</v>
      </c>
      <c r="F18" s="28" t="n">
        <f aca="false">SUM(F14:F17)</f>
        <v>1</v>
      </c>
      <c r="H18" s="26" t="s">
        <v>54</v>
      </c>
      <c r="I18" s="27" t="n">
        <f aca="false">SUM(I14:I17)</f>
        <v>1598769</v>
      </c>
      <c r="J18" s="27" t="n">
        <f aca="false">SUM(J14:J17)</f>
        <v>373269</v>
      </c>
      <c r="K18" s="28" t="n">
        <f aca="false">IF(I18=0,0,J18/I18)</f>
        <v>0.233472753099416</v>
      </c>
      <c r="L18" s="28" t="n">
        <f aca="false">SUM(L14:L17)</f>
        <v>1</v>
      </c>
    </row>
    <row r="21" customFormat="false" ht="15" hidden="false" customHeight="false" outlineLevel="0" collapsed="false">
      <c r="B21" s="3" t="s">
        <v>55</v>
      </c>
      <c r="H21" s="3" t="s">
        <v>56</v>
      </c>
    </row>
    <row r="22" customFormat="false" ht="15" hidden="false" customHeight="false" outlineLevel="0" collapsed="false">
      <c r="B22" s="22" t="s">
        <v>57</v>
      </c>
      <c r="C22" s="22" t="s">
        <v>58</v>
      </c>
      <c r="D22" s="22" t="s">
        <v>48</v>
      </c>
      <c r="E22" s="22" t="s">
        <v>49</v>
      </c>
      <c r="F22" s="22" t="s">
        <v>43</v>
      </c>
      <c r="H22" s="29" t="str">
        <f aca="false">"Best region: "&amp;INDEX(B14:B17,MATCH(MAX(C14:C17),C14:C17,0))&amp;" (₹"&amp;TEXT(MAX(C14:C17),"#,##0")&amp;")"</f>
        <v>Best region: North (₹733,193)</v>
      </c>
      <c r="I22" s="29"/>
      <c r="J22" s="29"/>
      <c r="K22" s="29"/>
      <c r="L22" s="29"/>
      <c r="M22" s="29"/>
    </row>
    <row r="23" customFormat="false" ht="15" hidden="false" customHeight="false" outlineLevel="0" collapsed="false">
      <c r="B23" s="30" t="n">
        <v>1</v>
      </c>
      <c r="C23" s="23" t="str">
        <f aca="false">IF(INDEX(Lists!$F$2:$F$9,MATCH($B23,Lists!$H$2:$H$9,0))=0,"-",INDEX(Lists!$C$2:$C$9,MATCH($B23,Lists!$H$2:$H$9,0)))</f>
        <v>Amit Verma</v>
      </c>
      <c r="D23" s="23" t="str">
        <f aca="false">IF(C23="-","-",INDEX(Lists!$D$2:$D$9,MATCH($B23,Lists!$H$2:$H$9,0)))</f>
        <v>North</v>
      </c>
      <c r="E23" s="24" t="n">
        <f aca="false">INDEX(Lists!$F$2:$F$9,MATCH($B23,Lists!$H$2:$H$9,0))</f>
        <v>544835</v>
      </c>
      <c r="F23" s="31" t="n">
        <f aca="false">INDEX(Lists!$G$2:$G$9,MATCH($B23,Lists!$H$2:$H$9,0))</f>
        <v>12</v>
      </c>
      <c r="H23" s="29" t="str">
        <f aca="false">"Top category: "&amp;INDEX(H14:H17,MATCH(MAX(I14:I17),I14:I17,0))&amp;" (₹"&amp;TEXT(MAX(I14:I17),"#,##0")&amp;")"</f>
        <v>Top category: Pantry (₹516,975)</v>
      </c>
      <c r="I23" s="29"/>
      <c r="J23" s="29"/>
      <c r="K23" s="29"/>
      <c r="L23" s="29"/>
      <c r="M23" s="29"/>
    </row>
    <row r="24" customFormat="false" ht="15" hidden="false" customHeight="false" outlineLevel="0" collapsed="false">
      <c r="B24" s="30" t="n">
        <v>2</v>
      </c>
      <c r="C24" s="23" t="str">
        <f aca="false">IF(INDEX(Lists!$F$2:$F$9,MATCH($B24,Lists!$H$2:$H$9,0))=0,"-",INDEX(Lists!$C$2:$C$9,MATCH($B24,Lists!$H$2:$H$9,0)))</f>
        <v>Karan Iyer</v>
      </c>
      <c r="D24" s="23" t="str">
        <f aca="false">IF(C24="-","-",INDEX(Lists!$D$2:$D$9,MATCH($B24,Lists!$H$2:$H$9,0)))</f>
        <v>South</v>
      </c>
      <c r="E24" s="24" t="n">
        <f aca="false">INDEX(Lists!$F$2:$F$9,MATCH($B24,Lists!$H$2:$H$9,0))</f>
        <v>396817</v>
      </c>
      <c r="F24" s="31" t="n">
        <f aca="false">INDEX(Lists!$G$2:$G$9,MATCH($B24,Lists!$H$2:$H$9,0))</f>
        <v>12</v>
      </c>
      <c r="H24" s="29" t="str">
        <f aca="false">"Top salesperson: "&amp;C23&amp;" (₹"&amp;TEXT(E23,"#,##0")&amp;")"</f>
        <v>Top salesperson: Amit Verma (₹544,835)</v>
      </c>
      <c r="I24" s="29"/>
      <c r="J24" s="29"/>
      <c r="K24" s="29"/>
      <c r="L24" s="29"/>
      <c r="M24" s="29"/>
    </row>
    <row r="25" customFormat="false" ht="15" hidden="false" customHeight="false" outlineLevel="0" collapsed="false">
      <c r="B25" s="30" t="n">
        <v>3</v>
      </c>
      <c r="C25" s="23" t="str">
        <f aca="false">IF(INDEX(Lists!$F$2:$F$9,MATCH($B25,Lists!$H$2:$H$9,0))=0,"-",INDEX(Lists!$C$2:$C$9,MATCH($B25,Lists!$H$2:$H$9,0)))</f>
        <v>Priya Nair</v>
      </c>
      <c r="D25" s="23" t="str">
        <f aca="false">IF(C25="-","-",INDEX(Lists!$D$2:$D$9,MATCH($B25,Lists!$H$2:$H$9,0)))</f>
        <v>South</v>
      </c>
      <c r="E25" s="24" t="n">
        <f aca="false">INDEX(Lists!$F$2:$F$9,MATCH($B25,Lists!$H$2:$H$9,0))</f>
        <v>228155</v>
      </c>
      <c r="F25" s="31" t="n">
        <f aca="false">INDEX(Lists!$G$2:$G$9,MATCH($B25,Lists!$H$2:$H$9,0))</f>
        <v>4</v>
      </c>
      <c r="H25" s="29" t="str">
        <f aca="false">IF(L9="N/A","No previous-month data to compare.","Sales "&amp;IF(L9&gt;=0,"grew ","fell ")&amp;TEXT(ABS(L9),"0.0%")&amp;" compared with the previous month.")</f>
        <v>Sales grew 8.7% compared with the previous month.</v>
      </c>
      <c r="I25" s="29"/>
      <c r="J25" s="29"/>
      <c r="K25" s="29"/>
      <c r="L25" s="29"/>
      <c r="M25" s="29"/>
    </row>
    <row r="26" customFormat="false" ht="15" hidden="false" customHeight="false" outlineLevel="0" collapsed="false">
      <c r="B26" s="30" t="n">
        <v>4</v>
      </c>
      <c r="C26" s="23" t="str">
        <f aca="false">IF(INDEX(Lists!$F$2:$F$9,MATCH($B26,Lists!$H$2:$H$9,0))=0,"-",INDEX(Lists!$C$2:$C$9,MATCH($B26,Lists!$H$2:$H$9,0)))</f>
        <v>Neha Sharma</v>
      </c>
      <c r="D26" s="23" t="str">
        <f aca="false">IF(C26="-","-",INDEX(Lists!$D$2:$D$9,MATCH($B26,Lists!$H$2:$H$9,0)))</f>
        <v>North</v>
      </c>
      <c r="E26" s="24" t="n">
        <f aca="false">INDEX(Lists!$F$2:$F$9,MATCH($B26,Lists!$H$2:$H$9,0))</f>
        <v>188358</v>
      </c>
      <c r="F26" s="31" t="n">
        <f aca="false">INDEX(Lists!$G$2:$G$9,MATCH($B26,Lists!$H$2:$H$9,0))</f>
        <v>7</v>
      </c>
    </row>
    <row r="27" customFormat="false" ht="15" hidden="false" customHeight="false" outlineLevel="0" collapsed="false">
      <c r="B27" s="30" t="n">
        <v>5</v>
      </c>
      <c r="C27" s="23" t="str">
        <f aca="false">IF(INDEX(Lists!$F$2:$F$9,MATCH($B27,Lists!$H$2:$H$9,0))=0,"-",INDEX(Lists!$C$2:$C$9,MATCH($B27,Lists!$H$2:$H$9,0)))</f>
        <v>Rohit Patil</v>
      </c>
      <c r="D27" s="23" t="str">
        <f aca="false">IF(C27="-","-",INDEX(Lists!$D$2:$D$9,MATCH($B27,Lists!$H$2:$H$9,0)))</f>
        <v>West</v>
      </c>
      <c r="E27" s="24" t="n">
        <f aca="false">INDEX(Lists!$F$2:$F$9,MATCH($B27,Lists!$H$2:$H$9,0))</f>
        <v>157530</v>
      </c>
      <c r="F27" s="31" t="n">
        <f aca="false">INDEX(Lists!$G$2:$G$9,MATCH($B27,Lists!$H$2:$H$9,0))</f>
        <v>4</v>
      </c>
    </row>
  </sheetData>
  <mergeCells count="19">
    <mergeCell ref="B2:M2"/>
    <mergeCell ref="B3:M3"/>
    <mergeCell ref="I5:K5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H22:M22"/>
    <mergeCell ref="H23:M23"/>
    <mergeCell ref="H24:M24"/>
    <mergeCell ref="H25:M25"/>
  </mergeCells>
  <conditionalFormatting sqref="L9">
    <cfRule type="expression" priority="2" aboveAverage="0" equalAverage="0" bottom="0" percent="0" rank="0" text="" dxfId="0">
      <formula>AND(ISNUMBER($L$9),$L$9&lt;0)</formula>
    </cfRule>
    <cfRule type="expression" priority="3" aboveAverage="0" equalAverage="0" bottom="0" percent="0" rank="0" text="" dxfId="1">
      <formula>AND(ISNUMBER($L$9),$L$9&gt;0)</formula>
    </cfRule>
  </conditionalFormatting>
  <dataValidations count="2">
    <dataValidation allowBlank="false" errorStyle="stop" operator="between" showDropDown="false" showErrorMessage="false" showInputMessage="false" sqref="F5" type="list">
      <formula1>Lists!$A$2:$A$13</formula1>
      <formula2>0</formula2>
    </dataValidation>
    <dataValidation allowBlank="false" errorStyle="stop" operator="between" showDropDown="false" showErrorMessage="false" showInputMessage="false" sqref="C5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32" t="s">
        <v>59</v>
      </c>
    </row>
    <row r="2" customFormat="false" ht="15" hidden="false" customHeight="false" outlineLevel="0" collapsed="false">
      <c r="A2" s="2" t="s">
        <v>60</v>
      </c>
    </row>
    <row r="4" customFormat="false" ht="30" hidden="false" customHeight="true" outlineLevel="0" collapsed="false">
      <c r="A4" s="22" t="s">
        <v>61</v>
      </c>
      <c r="B4" s="22" t="s">
        <v>62</v>
      </c>
      <c r="C4" s="22" t="s">
        <v>43</v>
      </c>
      <c r="D4" s="22" t="s">
        <v>63</v>
      </c>
      <c r="E4" s="22" t="s">
        <v>49</v>
      </c>
      <c r="F4" s="22" t="s">
        <v>50</v>
      </c>
      <c r="G4" s="22" t="s">
        <v>51</v>
      </c>
      <c r="H4" s="22" t="s">
        <v>45</v>
      </c>
    </row>
    <row r="5" customFormat="false" ht="15" hidden="false" customHeight="false" outlineLevel="0" collapsed="false">
      <c r="A5" s="23" t="str">
        <f aca="false">Lists!A2</f>
        <v>January</v>
      </c>
      <c r="B5" s="33" t="n">
        <f aca="false">DATE(Dashboard!$C$5,MATCH(A5,Lists!$A$2:$A$13,0),1)</f>
        <v>45658</v>
      </c>
      <c r="C5" s="31" t="n">
        <f aca="false">COUNTIFS(Data!$B$2:$B$1000,"&gt;="&amp;B5,Data!$B$2:$B$1000,"&lt;="&amp;EOMONTH(B5,0))</f>
        <v>22</v>
      </c>
      <c r="D5" s="31" t="n">
        <f aca="false">SUMIFS(Data!$F$2:$F$1000,Data!$B$2:$B$1000,"&gt;="&amp;B5,Data!$B$2:$B$1000,"&lt;="&amp;EOMONTH(B5,0))</f>
        <v>1294</v>
      </c>
      <c r="E5" s="24" t="n">
        <f aca="false">SUMIFS(Data!$K$2:$K$1000,Data!$B$2:$B$1000,"&gt;="&amp;B5,Data!$B$2:$B$1000,"&lt;="&amp;EOMONTH(B5,0))</f>
        <v>623474.5</v>
      </c>
      <c r="F5" s="24" t="n">
        <f aca="false">SUMIFS(Data!$M$2:$M$1000,Data!$B$2:$B$1000,"&gt;="&amp;B5,Data!$B$2:$B$1000,"&lt;="&amp;EOMONTH(B5,0))</f>
        <v>156334.5</v>
      </c>
      <c r="G5" s="25" t="n">
        <f aca="false">IF(E5=0,0,F5/E5)</f>
        <v>0.250747223823909</v>
      </c>
      <c r="H5" s="34" t="s">
        <v>64</v>
      </c>
    </row>
    <row r="6" customFormat="false" ht="15" hidden="false" customHeight="false" outlineLevel="0" collapsed="false">
      <c r="A6" s="23" t="str">
        <f aca="false">Lists!A3</f>
        <v>February</v>
      </c>
      <c r="B6" s="33" t="n">
        <f aca="false">DATE(Dashboard!$C$5,MATCH(A6,Lists!$A$2:$A$13,0),1)</f>
        <v>45689</v>
      </c>
      <c r="C6" s="31" t="n">
        <f aca="false">COUNTIFS(Data!$B$2:$B$1000,"&gt;="&amp;B6,Data!$B$2:$B$1000,"&lt;="&amp;EOMONTH(B6,0))</f>
        <v>32</v>
      </c>
      <c r="D6" s="31" t="n">
        <f aca="false">SUMIFS(Data!$F$2:$F$1000,Data!$B$2:$B$1000,"&gt;="&amp;B6,Data!$B$2:$B$1000,"&lt;="&amp;EOMONTH(B6,0))</f>
        <v>1790</v>
      </c>
      <c r="E6" s="24" t="n">
        <f aca="false">SUMIFS(Data!$K$2:$K$1000,Data!$B$2:$B$1000,"&gt;="&amp;B6,Data!$B$2:$B$1000,"&lt;="&amp;EOMONTH(B6,0))</f>
        <v>874378.5</v>
      </c>
      <c r="F6" s="24" t="n">
        <f aca="false">SUMIFS(Data!$M$2:$M$1000,Data!$B$2:$B$1000,"&gt;="&amp;B6,Data!$B$2:$B$1000,"&lt;="&amp;EOMONTH(B6,0))</f>
        <v>200138.5</v>
      </c>
      <c r="G6" s="25" t="n">
        <f aca="false">IF(E6=0,0,F6/E6)</f>
        <v>0.228892293211693</v>
      </c>
      <c r="H6" s="34" t="n">
        <f aca="false">IF(E5=0,"N/A",E6/E5-1)</f>
        <v>0.402428647843657</v>
      </c>
    </row>
    <row r="7" customFormat="false" ht="15" hidden="false" customHeight="false" outlineLevel="0" collapsed="false">
      <c r="A7" s="23" t="str">
        <f aca="false">Lists!A4</f>
        <v>March</v>
      </c>
      <c r="B7" s="33" t="n">
        <f aca="false">DATE(Dashboard!$C$5,MATCH(A7,Lists!$A$2:$A$13,0),1)</f>
        <v>45717</v>
      </c>
      <c r="C7" s="31" t="n">
        <f aca="false">COUNTIFS(Data!$B$2:$B$1000,"&gt;="&amp;B7,Data!$B$2:$B$1000,"&lt;="&amp;EOMONTH(B7,0))</f>
        <v>29</v>
      </c>
      <c r="D7" s="31" t="n">
        <f aca="false">SUMIFS(Data!$F$2:$F$1000,Data!$B$2:$B$1000,"&gt;="&amp;B7,Data!$B$2:$B$1000,"&lt;="&amp;EOMONTH(B7,0))</f>
        <v>1545</v>
      </c>
      <c r="E7" s="24" t="n">
        <f aca="false">SUMIFS(Data!$K$2:$K$1000,Data!$B$2:$B$1000,"&gt;="&amp;B7,Data!$B$2:$B$1000,"&lt;="&amp;EOMONTH(B7,0))</f>
        <v>1350719.5</v>
      </c>
      <c r="F7" s="24" t="n">
        <f aca="false">SUMIFS(Data!$M$2:$M$1000,Data!$B$2:$B$1000,"&gt;="&amp;B7,Data!$B$2:$B$1000,"&lt;="&amp;EOMONTH(B7,0))</f>
        <v>315639.5</v>
      </c>
      <c r="G7" s="25" t="n">
        <f aca="false">IF(E7=0,0,F7/E7)</f>
        <v>0.233682492923216</v>
      </c>
      <c r="H7" s="34" t="n">
        <f aca="false">IF(E6=0,"N/A",E7/E6-1)</f>
        <v>0.544776661365759</v>
      </c>
    </row>
    <row r="8" customFormat="false" ht="15" hidden="false" customHeight="false" outlineLevel="0" collapsed="false">
      <c r="A8" s="23" t="str">
        <f aca="false">Lists!A5</f>
        <v>April</v>
      </c>
      <c r="B8" s="33" t="n">
        <f aca="false">DATE(Dashboard!$C$5,MATCH(A8,Lists!$A$2:$A$13,0),1)</f>
        <v>45748</v>
      </c>
      <c r="C8" s="31" t="n">
        <f aca="false">COUNTIFS(Data!$B$2:$B$1000,"&gt;="&amp;B8,Data!$B$2:$B$1000,"&lt;="&amp;EOMONTH(B8,0))</f>
        <v>42</v>
      </c>
      <c r="D8" s="31" t="n">
        <f aca="false">SUMIFS(Data!$F$2:$F$1000,Data!$B$2:$B$1000,"&gt;="&amp;B8,Data!$B$2:$B$1000,"&lt;="&amp;EOMONTH(B8,0))</f>
        <v>1862</v>
      </c>
      <c r="E8" s="24" t="n">
        <f aca="false">SUMIFS(Data!$K$2:$K$1000,Data!$B$2:$B$1000,"&gt;="&amp;B8,Data!$B$2:$B$1000,"&lt;="&amp;EOMONTH(B8,0))</f>
        <v>1348972.5</v>
      </c>
      <c r="F8" s="24" t="n">
        <f aca="false">SUMIFS(Data!$M$2:$M$1000,Data!$B$2:$B$1000,"&gt;="&amp;B8,Data!$B$2:$B$1000,"&lt;="&amp;EOMONTH(B8,0))</f>
        <v>317202.5</v>
      </c>
      <c r="G8" s="25" t="n">
        <f aca="false">IF(E8=0,0,F8/E8)</f>
        <v>0.235143785362563</v>
      </c>
      <c r="H8" s="34" t="n">
        <f aca="false">IF(E7=0,"N/A",E8/E7-1)</f>
        <v>-0.00129338474790663</v>
      </c>
    </row>
    <row r="9" customFormat="false" ht="15" hidden="false" customHeight="false" outlineLevel="0" collapsed="false">
      <c r="A9" s="23" t="str">
        <f aca="false">Lists!A6</f>
        <v>May</v>
      </c>
      <c r="B9" s="33" t="n">
        <f aca="false">DATE(Dashboard!$C$5,MATCH(A9,Lists!$A$2:$A$13,0),1)</f>
        <v>45778</v>
      </c>
      <c r="C9" s="31" t="n">
        <f aca="false">COUNTIFS(Data!$B$2:$B$1000,"&gt;="&amp;B9,Data!$B$2:$B$1000,"&lt;="&amp;EOMONTH(B9,0))</f>
        <v>31</v>
      </c>
      <c r="D9" s="31" t="n">
        <f aca="false">SUMIFS(Data!$F$2:$F$1000,Data!$B$2:$B$1000,"&gt;="&amp;B9,Data!$B$2:$B$1000,"&lt;="&amp;EOMONTH(B9,0))</f>
        <v>2234</v>
      </c>
      <c r="E9" s="24" t="n">
        <f aca="false">SUMIFS(Data!$K$2:$K$1000,Data!$B$2:$B$1000,"&gt;="&amp;B9,Data!$B$2:$B$1000,"&lt;="&amp;EOMONTH(B9,0))</f>
        <v>1061494</v>
      </c>
      <c r="F9" s="24" t="n">
        <f aca="false">SUMIFS(Data!$M$2:$M$1000,Data!$B$2:$B$1000,"&gt;="&amp;B9,Data!$B$2:$B$1000,"&lt;="&amp;EOMONTH(B9,0))</f>
        <v>233364</v>
      </c>
      <c r="G9" s="25" t="n">
        <f aca="false">IF(E9=0,0,F9/E9)</f>
        <v>0.219844860168781</v>
      </c>
      <c r="H9" s="34" t="n">
        <f aca="false">IF(E8=0,"N/A",E9/E8-1)</f>
        <v>-0.21310923684508</v>
      </c>
    </row>
    <row r="10" customFormat="false" ht="15" hidden="false" customHeight="false" outlineLevel="0" collapsed="false">
      <c r="A10" s="23" t="str">
        <f aca="false">Lists!A7</f>
        <v>June</v>
      </c>
      <c r="B10" s="33" t="n">
        <f aca="false">DATE(Dashboard!$C$5,MATCH(A10,Lists!$A$2:$A$13,0),1)</f>
        <v>45809</v>
      </c>
      <c r="C10" s="31" t="n">
        <f aca="false">COUNTIFS(Data!$B$2:$B$1000,"&gt;="&amp;B10,Data!$B$2:$B$1000,"&lt;="&amp;EOMONTH(B10,0))</f>
        <v>36</v>
      </c>
      <c r="D10" s="31" t="n">
        <f aca="false">SUMIFS(Data!$F$2:$F$1000,Data!$B$2:$B$1000,"&gt;="&amp;B10,Data!$B$2:$B$1000,"&lt;="&amp;EOMONTH(B10,0))</f>
        <v>2140</v>
      </c>
      <c r="E10" s="24" t="n">
        <f aca="false">SUMIFS(Data!$K$2:$K$1000,Data!$B$2:$B$1000,"&gt;="&amp;B10,Data!$B$2:$B$1000,"&lt;="&amp;EOMONTH(B10,0))</f>
        <v>965288.5</v>
      </c>
      <c r="F10" s="24" t="n">
        <f aca="false">SUMIFS(Data!$M$2:$M$1000,Data!$B$2:$B$1000,"&gt;="&amp;B10,Data!$B$2:$B$1000,"&lt;="&amp;EOMONTH(B10,0))</f>
        <v>228688.5</v>
      </c>
      <c r="G10" s="25" t="n">
        <f aca="false">IF(E10=0,0,F10/E10)</f>
        <v>0.236912073437112</v>
      </c>
      <c r="H10" s="34" t="n">
        <f aca="false">IF(E9=0,"N/A",E10/E9-1)</f>
        <v>-0.0906321656080957</v>
      </c>
    </row>
    <row r="11" customFormat="false" ht="15" hidden="false" customHeight="false" outlineLevel="0" collapsed="false">
      <c r="A11" s="23" t="str">
        <f aca="false">Lists!A8</f>
        <v>July</v>
      </c>
      <c r="B11" s="33" t="n">
        <f aca="false">DATE(Dashboard!$C$5,MATCH(A11,Lists!$A$2:$A$13,0),1)</f>
        <v>45839</v>
      </c>
      <c r="C11" s="31" t="n">
        <f aca="false">COUNTIFS(Data!$B$2:$B$1000,"&gt;="&amp;B11,Data!$B$2:$B$1000,"&lt;="&amp;EOMONTH(B11,0))</f>
        <v>33</v>
      </c>
      <c r="D11" s="31" t="n">
        <f aca="false">SUMIFS(Data!$F$2:$F$1000,Data!$B$2:$B$1000,"&gt;="&amp;B11,Data!$B$2:$B$1000,"&lt;="&amp;EOMONTH(B11,0))</f>
        <v>2155</v>
      </c>
      <c r="E11" s="24" t="n">
        <f aca="false">SUMIFS(Data!$K$2:$K$1000,Data!$B$2:$B$1000,"&gt;="&amp;B11,Data!$B$2:$B$1000,"&lt;="&amp;EOMONTH(B11,0))</f>
        <v>976837</v>
      </c>
      <c r="F11" s="24" t="n">
        <f aca="false">SUMIFS(Data!$M$2:$M$1000,Data!$B$2:$B$1000,"&gt;="&amp;B11,Data!$B$2:$B$1000,"&lt;="&amp;EOMONTH(B11,0))</f>
        <v>233097</v>
      </c>
      <c r="G11" s="25" t="n">
        <f aca="false">IF(E11=0,0,F11/E11)</f>
        <v>0.238624253585808</v>
      </c>
      <c r="H11" s="34" t="n">
        <f aca="false">IF(E10=0,"N/A",E11/E10-1)</f>
        <v>0.0119637807764208</v>
      </c>
    </row>
    <row r="12" customFormat="false" ht="15" hidden="false" customHeight="false" outlineLevel="0" collapsed="false">
      <c r="A12" s="23" t="str">
        <f aca="false">Lists!A9</f>
        <v>August</v>
      </c>
      <c r="B12" s="33" t="n">
        <f aca="false">DATE(Dashboard!$C$5,MATCH(A12,Lists!$A$2:$A$13,0),1)</f>
        <v>45870</v>
      </c>
      <c r="C12" s="31" t="n">
        <f aca="false">COUNTIFS(Data!$B$2:$B$1000,"&gt;="&amp;B12,Data!$B$2:$B$1000,"&lt;="&amp;EOMONTH(B12,0))</f>
        <v>41</v>
      </c>
      <c r="D12" s="31" t="n">
        <f aca="false">SUMIFS(Data!$F$2:$F$1000,Data!$B$2:$B$1000,"&gt;="&amp;B12,Data!$B$2:$B$1000,"&lt;="&amp;EOMONTH(B12,0))</f>
        <v>2548</v>
      </c>
      <c r="E12" s="24" t="n">
        <f aca="false">SUMIFS(Data!$K$2:$K$1000,Data!$B$2:$B$1000,"&gt;="&amp;B12,Data!$B$2:$B$1000,"&lt;="&amp;EOMONTH(B12,0))</f>
        <v>1470164.5</v>
      </c>
      <c r="F12" s="24" t="n">
        <f aca="false">SUMIFS(Data!$M$2:$M$1000,Data!$B$2:$B$1000,"&gt;="&amp;B12,Data!$B$2:$B$1000,"&lt;="&amp;EOMONTH(B12,0))</f>
        <v>323414.5</v>
      </c>
      <c r="G12" s="25" t="n">
        <f aca="false">IF(E12=0,0,F12/E12)</f>
        <v>0.219985246548941</v>
      </c>
      <c r="H12" s="34" t="n">
        <f aca="false">IF(E11=0,"N/A",E12/E11-1)</f>
        <v>0.505025403419404</v>
      </c>
    </row>
    <row r="13" customFormat="false" ht="15" hidden="false" customHeight="false" outlineLevel="0" collapsed="false">
      <c r="A13" s="23" t="str">
        <f aca="false">Lists!A10</f>
        <v>September</v>
      </c>
      <c r="B13" s="33" t="n">
        <f aca="false">DATE(Dashboard!$C$5,MATCH(A13,Lists!$A$2:$A$13,0),1)</f>
        <v>45901</v>
      </c>
      <c r="C13" s="31" t="n">
        <f aca="false">COUNTIFS(Data!$B$2:$B$1000,"&gt;="&amp;B13,Data!$B$2:$B$1000,"&lt;="&amp;EOMONTH(B13,0))</f>
        <v>43</v>
      </c>
      <c r="D13" s="31" t="n">
        <f aca="false">SUMIFS(Data!$F$2:$F$1000,Data!$B$2:$B$1000,"&gt;="&amp;B13,Data!$B$2:$B$1000,"&lt;="&amp;EOMONTH(B13,0))</f>
        <v>2519</v>
      </c>
      <c r="E13" s="24" t="n">
        <f aca="false">SUMIFS(Data!$K$2:$K$1000,Data!$B$2:$B$1000,"&gt;="&amp;B13,Data!$B$2:$B$1000,"&lt;="&amp;EOMONTH(B13,0))</f>
        <v>1598769</v>
      </c>
      <c r="F13" s="24" t="n">
        <f aca="false">SUMIFS(Data!$M$2:$M$1000,Data!$B$2:$B$1000,"&gt;="&amp;B13,Data!$B$2:$B$1000,"&lt;="&amp;EOMONTH(B13,0))</f>
        <v>373269</v>
      </c>
      <c r="G13" s="25" t="n">
        <f aca="false">IF(E13=0,0,F13/E13)</f>
        <v>0.233472753099416</v>
      </c>
      <c r="H13" s="34" t="n">
        <f aca="false">IF(E12=0,"N/A",E13/E12-1)</f>
        <v>0.0874762654111156</v>
      </c>
    </row>
    <row r="14" customFormat="false" ht="15" hidden="false" customHeight="false" outlineLevel="0" collapsed="false">
      <c r="A14" s="23" t="str">
        <f aca="false">Lists!A11</f>
        <v>October</v>
      </c>
      <c r="B14" s="33" t="n">
        <f aca="false">DATE(Dashboard!$C$5,MATCH(A14,Lists!$A$2:$A$13,0),1)</f>
        <v>45931</v>
      </c>
      <c r="C14" s="31" t="n">
        <f aca="false">COUNTIFS(Data!$B$2:$B$1000,"&gt;="&amp;B14,Data!$B$2:$B$1000,"&lt;="&amp;EOMONTH(B14,0))</f>
        <v>64</v>
      </c>
      <c r="D14" s="31" t="n">
        <f aca="false">SUMIFS(Data!$F$2:$F$1000,Data!$B$2:$B$1000,"&gt;="&amp;B14,Data!$B$2:$B$1000,"&lt;="&amp;EOMONTH(B14,0))</f>
        <v>3612</v>
      </c>
      <c r="E14" s="24" t="n">
        <f aca="false">SUMIFS(Data!$K$2:$K$1000,Data!$B$2:$B$1000,"&gt;="&amp;B14,Data!$B$2:$B$1000,"&lt;="&amp;EOMONTH(B14,0))</f>
        <v>3096570</v>
      </c>
      <c r="F14" s="24" t="n">
        <f aca="false">SUMIFS(Data!$M$2:$M$1000,Data!$B$2:$B$1000,"&gt;="&amp;B14,Data!$B$2:$B$1000,"&lt;="&amp;EOMONTH(B14,0))</f>
        <v>662190</v>
      </c>
      <c r="G14" s="25" t="n">
        <f aca="false">IF(E14=0,0,F14/E14)</f>
        <v>0.213846287989614</v>
      </c>
      <c r="H14" s="34" t="n">
        <f aca="false">IF(E13=0,"N/A",E14/E13-1)</f>
        <v>0.936846411207623</v>
      </c>
    </row>
    <row r="15" customFormat="false" ht="15" hidden="false" customHeight="false" outlineLevel="0" collapsed="false">
      <c r="A15" s="23" t="str">
        <f aca="false">Lists!A12</f>
        <v>November</v>
      </c>
      <c r="B15" s="33" t="n">
        <f aca="false">DATE(Dashboard!$C$5,MATCH(A15,Lists!$A$2:$A$13,0),1)</f>
        <v>45962</v>
      </c>
      <c r="C15" s="31" t="n">
        <f aca="false">COUNTIFS(Data!$B$2:$B$1000,"&gt;="&amp;B15,Data!$B$2:$B$1000,"&lt;="&amp;EOMONTH(B15,0))</f>
        <v>58</v>
      </c>
      <c r="D15" s="31" t="n">
        <f aca="false">SUMIFS(Data!$F$2:$F$1000,Data!$B$2:$B$1000,"&gt;="&amp;B15,Data!$B$2:$B$1000,"&lt;="&amp;EOMONTH(B15,0))</f>
        <v>2898</v>
      </c>
      <c r="E15" s="24" t="n">
        <f aca="false">SUMIFS(Data!$K$2:$K$1000,Data!$B$2:$B$1000,"&gt;="&amp;B15,Data!$B$2:$B$1000,"&lt;="&amp;EOMONTH(B15,0))</f>
        <v>2434754</v>
      </c>
      <c r="F15" s="24" t="n">
        <f aca="false">SUMIFS(Data!$M$2:$M$1000,Data!$B$2:$B$1000,"&gt;="&amp;B15,Data!$B$2:$B$1000,"&lt;="&amp;EOMONTH(B15,0))</f>
        <v>561944</v>
      </c>
      <c r="G15" s="25" t="n">
        <f aca="false">IF(E15=0,0,F15/E15)</f>
        <v>0.230801140484829</v>
      </c>
      <c r="H15" s="34" t="n">
        <f aca="false">IF(E14=0,"N/A",E15/E14-1)</f>
        <v>-0.213725509192429</v>
      </c>
    </row>
    <row r="16" customFormat="false" ht="15" hidden="false" customHeight="false" outlineLevel="0" collapsed="false">
      <c r="A16" s="23" t="str">
        <f aca="false">Lists!A13</f>
        <v>December</v>
      </c>
      <c r="B16" s="33" t="n">
        <f aca="false">DATE(Dashboard!$C$5,MATCH(A16,Lists!$A$2:$A$13,0),1)</f>
        <v>45992</v>
      </c>
      <c r="C16" s="31" t="n">
        <f aca="false">COUNTIFS(Data!$B$2:$B$1000,"&gt;="&amp;B16,Data!$B$2:$B$1000,"&lt;="&amp;EOMONTH(B16,0))</f>
        <v>49</v>
      </c>
      <c r="D16" s="31" t="n">
        <f aca="false">SUMIFS(Data!$F$2:$F$1000,Data!$B$2:$B$1000,"&gt;="&amp;B16,Data!$B$2:$B$1000,"&lt;="&amp;EOMONTH(B16,0))</f>
        <v>2906</v>
      </c>
      <c r="E16" s="24" t="n">
        <f aca="false">SUMIFS(Data!$K$2:$K$1000,Data!$B$2:$B$1000,"&gt;="&amp;B16,Data!$B$2:$B$1000,"&lt;="&amp;EOMONTH(B16,0))</f>
        <v>1772546.5</v>
      </c>
      <c r="F16" s="24" t="n">
        <f aca="false">SUMIFS(Data!$M$2:$M$1000,Data!$B$2:$B$1000,"&gt;="&amp;B16,Data!$B$2:$B$1000,"&lt;="&amp;EOMONTH(B16,0))</f>
        <v>378206.5</v>
      </c>
      <c r="G16" s="25" t="n">
        <f aca="false">IF(E16=0,0,F16/E16)</f>
        <v>0.213369014578743</v>
      </c>
      <c r="H16" s="34" t="n">
        <f aca="false">IF(E15=0,"N/A",E16/E15-1)</f>
        <v>-0.271981276137138</v>
      </c>
    </row>
    <row r="17" customFormat="false" ht="15" hidden="false" customHeight="false" outlineLevel="0" collapsed="false">
      <c r="A17" s="26" t="s">
        <v>65</v>
      </c>
      <c r="B17" s="35"/>
      <c r="C17" s="36" t="n">
        <f aca="false">SUM(C5:C16)</f>
        <v>480</v>
      </c>
      <c r="D17" s="36" t="n">
        <f aca="false">SUM(D5:D16)</f>
        <v>27503</v>
      </c>
      <c r="E17" s="27" t="n">
        <f aca="false">SUM(E5:E16)</f>
        <v>17573968.5</v>
      </c>
      <c r="F17" s="27" t="n">
        <f aca="false">SUM(F5:F16)</f>
        <v>3983488.5</v>
      </c>
      <c r="G17" s="28" t="n">
        <f aca="false">IF(E17=0,0,F17/E17)</f>
        <v>0.226669832713084</v>
      </c>
      <c r="H17" s="35"/>
    </row>
  </sheetData>
  <conditionalFormatting sqref="H6:H16">
    <cfRule type="expression" priority="2" aboveAverage="0" equalAverage="0" bottom="0" percent="0" rank="0" text="" dxfId="2">
      <formula>AND(ISNUMBER(H6),H6&lt;0)</formula>
    </cfRule>
    <cfRule type="expression" priority="3" aboveAverage="0" equalAverage="0" bottom="0" percent="0" rank="0" text="" dxfId="3">
      <formula>AND(ISNUMBER(H6),H6&gt;0)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22" t="s">
        <v>66</v>
      </c>
      <c r="B1" s="22" t="s">
        <v>67</v>
      </c>
      <c r="C1" s="22" t="s">
        <v>48</v>
      </c>
      <c r="D1" s="22" t="s">
        <v>58</v>
      </c>
      <c r="E1" s="22" t="s">
        <v>68</v>
      </c>
      <c r="F1" s="22" t="s">
        <v>69</v>
      </c>
      <c r="G1" s="22" t="s">
        <v>70</v>
      </c>
      <c r="H1" s="22" t="s">
        <v>71</v>
      </c>
      <c r="I1" s="22" t="s">
        <v>72</v>
      </c>
      <c r="J1" s="22" t="s">
        <v>73</v>
      </c>
      <c r="K1" s="22" t="s">
        <v>74</v>
      </c>
      <c r="L1" s="22" t="s">
        <v>75</v>
      </c>
      <c r="M1" s="22" t="s">
        <v>76</v>
      </c>
    </row>
    <row r="2" customFormat="false" ht="15" hidden="false" customHeight="false" outlineLevel="0" collapsed="false">
      <c r="A2" s="37" t="s">
        <v>77</v>
      </c>
      <c r="B2" s="38" t="n">
        <v>45660</v>
      </c>
      <c r="C2" s="37" t="s">
        <v>78</v>
      </c>
      <c r="D2" s="37" t="s">
        <v>79</v>
      </c>
      <c r="E2" s="37" t="s">
        <v>80</v>
      </c>
      <c r="F2" s="39" t="n">
        <v>10</v>
      </c>
      <c r="G2" s="40" t="n">
        <v>0.05</v>
      </c>
      <c r="H2" s="8" t="str">
        <f aca="false">IF($A2="","",IFERROR(INDEX(Products!$B$2:$B$50,MATCH($E2,Products!$A$2:$A$50,0)),"Unmapped"))</f>
        <v>Pantry</v>
      </c>
      <c r="I2" s="41" t="n">
        <f aca="false">IF($A2="","",IFERROR(INDEX(Products!$C$2:$C$50,MATCH($E2,Products!$A$2:$A$50,0)),0))</f>
        <v>5600</v>
      </c>
      <c r="J2" s="41" t="n">
        <f aca="false">IF($A2="","",IFERROR(INDEX(Products!$D$2:$D$50,MATCH($E2,Products!$A$2:$A$50,0)),0))</f>
        <v>4200</v>
      </c>
      <c r="K2" s="41" t="n">
        <f aca="false">IF($A2="","",$F2*$I2*(1-$G2))</f>
        <v>53200</v>
      </c>
      <c r="L2" s="41" t="n">
        <f aca="false">IF($A2="","",$F2*$J2)</f>
        <v>42000</v>
      </c>
      <c r="M2" s="41" t="n">
        <f aca="false">IF($A2="","",$K2-$L2)</f>
        <v>11200</v>
      </c>
    </row>
    <row r="3" customFormat="false" ht="15" hidden="false" customHeight="false" outlineLevel="0" collapsed="false">
      <c r="A3" s="37" t="s">
        <v>81</v>
      </c>
      <c r="B3" s="38" t="n">
        <v>45661</v>
      </c>
      <c r="C3" s="37" t="s">
        <v>82</v>
      </c>
      <c r="D3" s="37" t="s">
        <v>83</v>
      </c>
      <c r="E3" s="37" t="s">
        <v>84</v>
      </c>
      <c r="F3" s="39" t="n">
        <v>148</v>
      </c>
      <c r="G3" s="40" t="n">
        <v>0.15</v>
      </c>
      <c r="H3" s="8" t="str">
        <f aca="false">IF($A3="","",IFERROR(INDEX(Products!$B$2:$B$50,MATCH($E3,Products!$A$2:$A$50,0)),"Unmapped"))</f>
        <v>Stationery</v>
      </c>
      <c r="I3" s="41" t="n">
        <f aca="false">IF($A3="","",IFERROR(INDEX(Products!$C$2:$C$50,MATCH($E3,Products!$A$2:$A$50,0)),0))</f>
        <v>350</v>
      </c>
      <c r="J3" s="41" t="n">
        <f aca="false">IF($A3="","",IFERROR(INDEX(Products!$D$2:$D$50,MATCH($E3,Products!$A$2:$A$50,0)),0))</f>
        <v>240</v>
      </c>
      <c r="K3" s="41" t="n">
        <f aca="false">IF($A3="","",$F3*$I3*(1-$G3))</f>
        <v>44030</v>
      </c>
      <c r="L3" s="41" t="n">
        <f aca="false">IF($A3="","",$F3*$J3)</f>
        <v>35520</v>
      </c>
      <c r="M3" s="41" t="n">
        <f aca="false">IF($A3="","",$K3-$L3)</f>
        <v>8510</v>
      </c>
    </row>
    <row r="4" customFormat="false" ht="15" hidden="false" customHeight="false" outlineLevel="0" collapsed="false">
      <c r="A4" s="37" t="s">
        <v>85</v>
      </c>
      <c r="B4" s="38" t="n">
        <v>45667</v>
      </c>
      <c r="C4" s="37" t="s">
        <v>78</v>
      </c>
      <c r="D4" s="37" t="s">
        <v>86</v>
      </c>
      <c r="E4" s="37" t="s">
        <v>84</v>
      </c>
      <c r="F4" s="39" t="n">
        <v>144</v>
      </c>
      <c r="G4" s="40" t="n">
        <v>0</v>
      </c>
      <c r="H4" s="8" t="str">
        <f aca="false">IF($A4="","",IFERROR(INDEX(Products!$B$2:$B$50,MATCH($E4,Products!$A$2:$A$50,0)),"Unmapped"))</f>
        <v>Stationery</v>
      </c>
      <c r="I4" s="41" t="n">
        <f aca="false">IF($A4="","",IFERROR(INDEX(Products!$C$2:$C$50,MATCH($E4,Products!$A$2:$A$50,0)),0))</f>
        <v>350</v>
      </c>
      <c r="J4" s="41" t="n">
        <f aca="false">IF($A4="","",IFERROR(INDEX(Products!$D$2:$D$50,MATCH($E4,Products!$A$2:$A$50,0)),0))</f>
        <v>240</v>
      </c>
      <c r="K4" s="41" t="n">
        <f aca="false">IF($A4="","",$F4*$I4*(1-$G4))</f>
        <v>50400</v>
      </c>
      <c r="L4" s="41" t="n">
        <f aca="false">IF($A4="","",$F4*$J4)</f>
        <v>34560</v>
      </c>
      <c r="M4" s="41" t="n">
        <f aca="false">IF($A4="","",$K4-$L4)</f>
        <v>15840</v>
      </c>
    </row>
    <row r="5" customFormat="false" ht="15" hidden="false" customHeight="false" outlineLevel="0" collapsed="false">
      <c r="A5" s="37" t="s">
        <v>87</v>
      </c>
      <c r="B5" s="38" t="n">
        <v>45668</v>
      </c>
      <c r="C5" s="37" t="s">
        <v>88</v>
      </c>
      <c r="D5" s="37" t="s">
        <v>89</v>
      </c>
      <c r="E5" s="37" t="s">
        <v>90</v>
      </c>
      <c r="F5" s="39" t="n">
        <v>133</v>
      </c>
      <c r="G5" s="40" t="n">
        <v>0.05</v>
      </c>
      <c r="H5" s="8" t="str">
        <f aca="false">IF($A5="","",IFERROR(INDEX(Products!$B$2:$B$50,MATCH($E5,Products!$A$2:$A$50,0)),"Unmapped"))</f>
        <v>Stationery</v>
      </c>
      <c r="I5" s="41" t="n">
        <f aca="false">IF($A5="","",IFERROR(INDEX(Products!$C$2:$C$50,MATCH($E5,Products!$A$2:$A$50,0)),0))</f>
        <v>120</v>
      </c>
      <c r="J5" s="41" t="n">
        <f aca="false">IF($A5="","",IFERROR(INDEX(Products!$D$2:$D$50,MATCH($E5,Products!$A$2:$A$50,0)),0))</f>
        <v>80</v>
      </c>
      <c r="K5" s="41" t="n">
        <f aca="false">IF($A5="","",$F5*$I5*(1-$G5))</f>
        <v>15162</v>
      </c>
      <c r="L5" s="41" t="n">
        <f aca="false">IF($A5="","",$F5*$J5)</f>
        <v>10640</v>
      </c>
      <c r="M5" s="41" t="n">
        <f aca="false">IF($A5="","",$K5-$L5)</f>
        <v>4522</v>
      </c>
    </row>
    <row r="6" customFormat="false" ht="15" hidden="false" customHeight="false" outlineLevel="0" collapsed="false">
      <c r="A6" s="37" t="s">
        <v>91</v>
      </c>
      <c r="B6" s="38" t="n">
        <v>45668</v>
      </c>
      <c r="C6" s="37" t="s">
        <v>88</v>
      </c>
      <c r="D6" s="37" t="s">
        <v>89</v>
      </c>
      <c r="E6" s="37" t="s">
        <v>84</v>
      </c>
      <c r="F6" s="39" t="n">
        <v>130</v>
      </c>
      <c r="G6" s="40" t="n">
        <v>0</v>
      </c>
      <c r="H6" s="8" t="str">
        <f aca="false">IF($A6="","",IFERROR(INDEX(Products!$B$2:$B$50,MATCH($E6,Products!$A$2:$A$50,0)),"Unmapped"))</f>
        <v>Stationery</v>
      </c>
      <c r="I6" s="41" t="n">
        <f aca="false">IF($A6="","",IFERROR(INDEX(Products!$C$2:$C$50,MATCH($E6,Products!$A$2:$A$50,0)),0))</f>
        <v>350</v>
      </c>
      <c r="J6" s="41" t="n">
        <f aca="false">IF($A6="","",IFERROR(INDEX(Products!$D$2:$D$50,MATCH($E6,Products!$A$2:$A$50,0)),0))</f>
        <v>240</v>
      </c>
      <c r="K6" s="41" t="n">
        <f aca="false">IF($A6="","",$F6*$I6*(1-$G6))</f>
        <v>45500</v>
      </c>
      <c r="L6" s="41" t="n">
        <f aca="false">IF($A6="","",$F6*$J6)</f>
        <v>31200</v>
      </c>
      <c r="M6" s="41" t="n">
        <f aca="false">IF($A6="","",$K6-$L6)</f>
        <v>14300</v>
      </c>
    </row>
    <row r="7" customFormat="false" ht="15" hidden="false" customHeight="false" outlineLevel="0" collapsed="false">
      <c r="A7" s="37" t="s">
        <v>92</v>
      </c>
      <c r="B7" s="38" t="n">
        <v>45670</v>
      </c>
      <c r="C7" s="37" t="s">
        <v>82</v>
      </c>
      <c r="D7" s="37" t="s">
        <v>93</v>
      </c>
      <c r="E7" s="37" t="s">
        <v>94</v>
      </c>
      <c r="F7" s="39" t="n">
        <v>22</v>
      </c>
      <c r="G7" s="40" t="n">
        <v>0.1</v>
      </c>
      <c r="H7" s="8" t="str">
        <f aca="false">IF($A7="","",IFERROR(INDEX(Products!$B$2:$B$50,MATCH($E7,Products!$A$2:$A$50,0)),"Unmapped"))</f>
        <v>Stationery</v>
      </c>
      <c r="I7" s="41" t="n">
        <f aca="false">IF($A7="","",IFERROR(INDEX(Products!$C$2:$C$50,MATCH($E7,Products!$A$2:$A$50,0)),0))</f>
        <v>280</v>
      </c>
      <c r="J7" s="41" t="n">
        <f aca="false">IF($A7="","",IFERROR(INDEX(Products!$D$2:$D$50,MATCH($E7,Products!$A$2:$A$50,0)),0))</f>
        <v>210</v>
      </c>
      <c r="K7" s="41" t="n">
        <f aca="false">IF($A7="","",$F7*$I7*(1-$G7))</f>
        <v>5544</v>
      </c>
      <c r="L7" s="41" t="n">
        <f aca="false">IF($A7="","",$F7*$J7)</f>
        <v>4620</v>
      </c>
      <c r="M7" s="41" t="n">
        <f aca="false">IF($A7="","",$K7-$L7)</f>
        <v>924</v>
      </c>
    </row>
    <row r="8" customFormat="false" ht="15" hidden="false" customHeight="false" outlineLevel="0" collapsed="false">
      <c r="A8" s="37" t="s">
        <v>95</v>
      </c>
      <c r="B8" s="38" t="n">
        <v>45670</v>
      </c>
      <c r="C8" s="37" t="s">
        <v>88</v>
      </c>
      <c r="D8" s="37" t="s">
        <v>89</v>
      </c>
      <c r="E8" s="37" t="s">
        <v>96</v>
      </c>
      <c r="F8" s="39" t="n">
        <v>13</v>
      </c>
      <c r="G8" s="40" t="n">
        <v>0.05</v>
      </c>
      <c r="H8" s="8" t="str">
        <f aca="false">IF($A8="","",IFERROR(INDEX(Products!$B$2:$B$50,MATCH($E8,Products!$A$2:$A$50,0)),"Unmapped"))</f>
        <v>Furniture</v>
      </c>
      <c r="I8" s="41" t="n">
        <f aca="false">IF($A8="","",IFERROR(INDEX(Products!$C$2:$C$50,MATCH($E8,Products!$A$2:$A$50,0)),0))</f>
        <v>4800</v>
      </c>
      <c r="J8" s="41" t="n">
        <f aca="false">IF($A8="","",IFERROR(INDEX(Products!$D$2:$D$50,MATCH($E8,Products!$A$2:$A$50,0)),0))</f>
        <v>3500</v>
      </c>
      <c r="K8" s="41" t="n">
        <f aca="false">IF($A8="","",$F8*$I8*(1-$G8))</f>
        <v>59280</v>
      </c>
      <c r="L8" s="41" t="n">
        <f aca="false">IF($A8="","",$F8*$J8)</f>
        <v>45500</v>
      </c>
      <c r="M8" s="41" t="n">
        <f aca="false">IF($A8="","",$K8-$L8)</f>
        <v>13780</v>
      </c>
    </row>
    <row r="9" customFormat="false" ht="15" hidden="false" customHeight="false" outlineLevel="0" collapsed="false">
      <c r="A9" s="37" t="s">
        <v>97</v>
      </c>
      <c r="B9" s="38" t="n">
        <v>45671</v>
      </c>
      <c r="C9" s="37" t="s">
        <v>78</v>
      </c>
      <c r="D9" s="37" t="s">
        <v>86</v>
      </c>
      <c r="E9" s="37" t="s">
        <v>84</v>
      </c>
      <c r="F9" s="39" t="n">
        <v>37</v>
      </c>
      <c r="G9" s="40" t="n">
        <v>0.15</v>
      </c>
      <c r="H9" s="8" t="str">
        <f aca="false">IF($A9="","",IFERROR(INDEX(Products!$B$2:$B$50,MATCH($E9,Products!$A$2:$A$50,0)),"Unmapped"))</f>
        <v>Stationery</v>
      </c>
      <c r="I9" s="41" t="n">
        <f aca="false">IF($A9="","",IFERROR(INDEX(Products!$C$2:$C$50,MATCH($E9,Products!$A$2:$A$50,0)),0))</f>
        <v>350</v>
      </c>
      <c r="J9" s="41" t="n">
        <f aca="false">IF($A9="","",IFERROR(INDEX(Products!$D$2:$D$50,MATCH($E9,Products!$A$2:$A$50,0)),0))</f>
        <v>240</v>
      </c>
      <c r="K9" s="41" t="n">
        <f aca="false">IF($A9="","",$F9*$I9*(1-$G9))</f>
        <v>11007.5</v>
      </c>
      <c r="L9" s="41" t="n">
        <f aca="false">IF($A9="","",$F9*$J9)</f>
        <v>8880</v>
      </c>
      <c r="M9" s="41" t="n">
        <f aca="false">IF($A9="","",$K9-$L9)</f>
        <v>2127.5</v>
      </c>
    </row>
    <row r="10" customFormat="false" ht="15" hidden="false" customHeight="false" outlineLevel="0" collapsed="false">
      <c r="A10" s="37" t="s">
        <v>98</v>
      </c>
      <c r="B10" s="38" t="n">
        <v>45673</v>
      </c>
      <c r="C10" s="37" t="s">
        <v>78</v>
      </c>
      <c r="D10" s="37" t="s">
        <v>79</v>
      </c>
      <c r="E10" s="37" t="s">
        <v>84</v>
      </c>
      <c r="F10" s="39" t="n">
        <v>78</v>
      </c>
      <c r="G10" s="40" t="n">
        <v>0</v>
      </c>
      <c r="H10" s="8" t="str">
        <f aca="false">IF($A10="","",IFERROR(INDEX(Products!$B$2:$B$50,MATCH($E10,Products!$A$2:$A$50,0)),"Unmapped"))</f>
        <v>Stationery</v>
      </c>
      <c r="I10" s="41" t="n">
        <f aca="false">IF($A10="","",IFERROR(INDEX(Products!$C$2:$C$50,MATCH($E10,Products!$A$2:$A$50,0)),0))</f>
        <v>350</v>
      </c>
      <c r="J10" s="41" t="n">
        <f aca="false">IF($A10="","",IFERROR(INDEX(Products!$D$2:$D$50,MATCH($E10,Products!$A$2:$A$50,0)),0))</f>
        <v>240</v>
      </c>
      <c r="K10" s="41" t="n">
        <f aca="false">IF($A10="","",$F10*$I10*(1-$G10))</f>
        <v>27300</v>
      </c>
      <c r="L10" s="41" t="n">
        <f aca="false">IF($A10="","",$F10*$J10)</f>
        <v>18720</v>
      </c>
      <c r="M10" s="41" t="n">
        <f aca="false">IF($A10="","",$K10-$L10)</f>
        <v>8580</v>
      </c>
    </row>
    <row r="11" customFormat="false" ht="15" hidden="false" customHeight="false" outlineLevel="0" collapsed="false">
      <c r="A11" s="37" t="s">
        <v>99</v>
      </c>
      <c r="B11" s="38" t="n">
        <v>45673</v>
      </c>
      <c r="C11" s="37" t="s">
        <v>78</v>
      </c>
      <c r="D11" s="37" t="s">
        <v>86</v>
      </c>
      <c r="E11" s="37" t="s">
        <v>90</v>
      </c>
      <c r="F11" s="39" t="n">
        <v>164</v>
      </c>
      <c r="G11" s="40" t="n">
        <v>0.15</v>
      </c>
      <c r="H11" s="8" t="str">
        <f aca="false">IF($A11="","",IFERROR(INDEX(Products!$B$2:$B$50,MATCH($E11,Products!$A$2:$A$50,0)),"Unmapped"))</f>
        <v>Stationery</v>
      </c>
      <c r="I11" s="41" t="n">
        <f aca="false">IF($A11="","",IFERROR(INDEX(Products!$C$2:$C$50,MATCH($E11,Products!$A$2:$A$50,0)),0))</f>
        <v>120</v>
      </c>
      <c r="J11" s="41" t="n">
        <f aca="false">IF($A11="","",IFERROR(INDEX(Products!$D$2:$D$50,MATCH($E11,Products!$A$2:$A$50,0)),0))</f>
        <v>80</v>
      </c>
      <c r="K11" s="41" t="n">
        <f aca="false">IF($A11="","",$F11*$I11*(1-$G11))</f>
        <v>16728</v>
      </c>
      <c r="L11" s="41" t="n">
        <f aca="false">IF($A11="","",$F11*$J11)</f>
        <v>13120</v>
      </c>
      <c r="M11" s="41" t="n">
        <f aca="false">IF($A11="","",$K11-$L11)</f>
        <v>3608</v>
      </c>
    </row>
    <row r="12" customFormat="false" ht="15" hidden="false" customHeight="false" outlineLevel="0" collapsed="false">
      <c r="A12" s="37" t="s">
        <v>100</v>
      </c>
      <c r="B12" s="38" t="n">
        <v>45674</v>
      </c>
      <c r="C12" s="37" t="s">
        <v>82</v>
      </c>
      <c r="D12" s="37" t="s">
        <v>83</v>
      </c>
      <c r="E12" s="37" t="s">
        <v>90</v>
      </c>
      <c r="F12" s="39" t="n">
        <v>20</v>
      </c>
      <c r="G12" s="40" t="n">
        <v>0.05</v>
      </c>
      <c r="H12" s="8" t="str">
        <f aca="false">IF($A12="","",IFERROR(INDEX(Products!$B$2:$B$50,MATCH($E12,Products!$A$2:$A$50,0)),"Unmapped"))</f>
        <v>Stationery</v>
      </c>
      <c r="I12" s="41" t="n">
        <f aca="false">IF($A12="","",IFERROR(INDEX(Products!$C$2:$C$50,MATCH($E12,Products!$A$2:$A$50,0)),0))</f>
        <v>120</v>
      </c>
      <c r="J12" s="41" t="n">
        <f aca="false">IF($A12="","",IFERROR(INDEX(Products!$D$2:$D$50,MATCH($E12,Products!$A$2:$A$50,0)),0))</f>
        <v>80</v>
      </c>
      <c r="K12" s="41" t="n">
        <f aca="false">IF($A12="","",$F12*$I12*(1-$G12))</f>
        <v>2280</v>
      </c>
      <c r="L12" s="41" t="n">
        <f aca="false">IF($A12="","",$F12*$J12)</f>
        <v>1600</v>
      </c>
      <c r="M12" s="41" t="n">
        <f aca="false">IF($A12="","",$K12-$L12)</f>
        <v>680</v>
      </c>
    </row>
    <row r="13" customFormat="false" ht="15" hidden="false" customHeight="false" outlineLevel="0" collapsed="false">
      <c r="A13" s="37" t="s">
        <v>101</v>
      </c>
      <c r="B13" s="38" t="n">
        <v>45674</v>
      </c>
      <c r="C13" s="37" t="s">
        <v>88</v>
      </c>
      <c r="D13" s="37" t="s">
        <v>89</v>
      </c>
      <c r="E13" s="37" t="s">
        <v>94</v>
      </c>
      <c r="F13" s="39" t="n">
        <v>198</v>
      </c>
      <c r="G13" s="40" t="n">
        <v>0.05</v>
      </c>
      <c r="H13" s="8" t="str">
        <f aca="false">IF($A13="","",IFERROR(INDEX(Products!$B$2:$B$50,MATCH($E13,Products!$A$2:$A$50,0)),"Unmapped"))</f>
        <v>Stationery</v>
      </c>
      <c r="I13" s="41" t="n">
        <f aca="false">IF($A13="","",IFERROR(INDEX(Products!$C$2:$C$50,MATCH($E13,Products!$A$2:$A$50,0)),0))</f>
        <v>280</v>
      </c>
      <c r="J13" s="41" t="n">
        <f aca="false">IF($A13="","",IFERROR(INDEX(Products!$D$2:$D$50,MATCH($E13,Products!$A$2:$A$50,0)),0))</f>
        <v>210</v>
      </c>
      <c r="K13" s="41" t="n">
        <f aca="false">IF($A13="","",$F13*$I13*(1-$G13))</f>
        <v>52668</v>
      </c>
      <c r="L13" s="41" t="n">
        <f aca="false">IF($A13="","",$F13*$J13)</f>
        <v>41580</v>
      </c>
      <c r="M13" s="41" t="n">
        <f aca="false">IF($A13="","",$K13-$L13)</f>
        <v>11088</v>
      </c>
    </row>
    <row r="14" customFormat="false" ht="15" hidden="false" customHeight="false" outlineLevel="0" collapsed="false">
      <c r="A14" s="37" t="s">
        <v>102</v>
      </c>
      <c r="B14" s="38" t="n">
        <v>45675</v>
      </c>
      <c r="C14" s="37" t="s">
        <v>82</v>
      </c>
      <c r="D14" s="37" t="s">
        <v>93</v>
      </c>
      <c r="E14" s="37" t="s">
        <v>103</v>
      </c>
      <c r="F14" s="39" t="n">
        <v>19</v>
      </c>
      <c r="G14" s="40" t="n">
        <v>0</v>
      </c>
      <c r="H14" s="8" t="str">
        <f aca="false">IF($A14="","",IFERROR(INDEX(Products!$B$2:$B$50,MATCH($E14,Products!$A$2:$A$50,0)),"Unmapped"))</f>
        <v>Electronics</v>
      </c>
      <c r="I14" s="41" t="n">
        <f aca="false">IF($A14="","",IFERROR(INDEX(Products!$C$2:$C$50,MATCH($E14,Products!$A$2:$A$50,0)),0))</f>
        <v>900</v>
      </c>
      <c r="J14" s="41" t="n">
        <f aca="false">IF($A14="","",IFERROR(INDEX(Products!$D$2:$D$50,MATCH($E14,Products!$A$2:$A$50,0)),0))</f>
        <v>620</v>
      </c>
      <c r="K14" s="41" t="n">
        <f aca="false">IF($A14="","",$F14*$I14*(1-$G14))</f>
        <v>17100</v>
      </c>
      <c r="L14" s="41" t="n">
        <f aca="false">IF($A14="","",$F14*$J14)</f>
        <v>11780</v>
      </c>
      <c r="M14" s="41" t="n">
        <f aca="false">IF($A14="","",$K14-$L14)</f>
        <v>5320</v>
      </c>
    </row>
    <row r="15" customFormat="false" ht="15" hidden="false" customHeight="false" outlineLevel="0" collapsed="false">
      <c r="A15" s="37" t="s">
        <v>104</v>
      </c>
      <c r="B15" s="38" t="n">
        <v>45680</v>
      </c>
      <c r="C15" s="37" t="s">
        <v>105</v>
      </c>
      <c r="D15" s="37" t="s">
        <v>106</v>
      </c>
      <c r="E15" s="37" t="s">
        <v>107</v>
      </c>
      <c r="F15" s="39" t="n">
        <v>9</v>
      </c>
      <c r="G15" s="40" t="n">
        <v>0</v>
      </c>
      <c r="H15" s="8" t="str">
        <f aca="false">IF($A15="","",IFERROR(INDEX(Products!$B$2:$B$50,MATCH($E15,Products!$A$2:$A$50,0)),"Unmapped"))</f>
        <v>Furniture</v>
      </c>
      <c r="I15" s="41" t="n">
        <f aca="false">IF($A15="","",IFERROR(INDEX(Products!$C$2:$C$50,MATCH($E15,Products!$A$2:$A$50,0)),0))</f>
        <v>7200</v>
      </c>
      <c r="J15" s="41" t="n">
        <f aca="false">IF($A15="","",IFERROR(INDEX(Products!$D$2:$D$50,MATCH($E15,Products!$A$2:$A$50,0)),0))</f>
        <v>5400</v>
      </c>
      <c r="K15" s="41" t="n">
        <f aca="false">IF($A15="","",$F15*$I15*(1-$G15))</f>
        <v>64800</v>
      </c>
      <c r="L15" s="41" t="n">
        <f aca="false">IF($A15="","",$F15*$J15)</f>
        <v>48600</v>
      </c>
      <c r="M15" s="41" t="n">
        <f aca="false">IF($A15="","",$K15-$L15)</f>
        <v>16200</v>
      </c>
    </row>
    <row r="16" customFormat="false" ht="15" hidden="false" customHeight="false" outlineLevel="0" collapsed="false">
      <c r="A16" s="37" t="s">
        <v>108</v>
      </c>
      <c r="B16" s="38" t="n">
        <v>45681</v>
      </c>
      <c r="C16" s="37" t="s">
        <v>78</v>
      </c>
      <c r="D16" s="37" t="s">
        <v>79</v>
      </c>
      <c r="E16" s="37" t="s">
        <v>103</v>
      </c>
      <c r="F16" s="39" t="n">
        <v>12</v>
      </c>
      <c r="G16" s="40" t="n">
        <v>0</v>
      </c>
      <c r="H16" s="8" t="str">
        <f aca="false">IF($A16="","",IFERROR(INDEX(Products!$B$2:$B$50,MATCH($E16,Products!$A$2:$A$50,0)),"Unmapped"))</f>
        <v>Electronics</v>
      </c>
      <c r="I16" s="41" t="n">
        <f aca="false">IF($A16="","",IFERROR(INDEX(Products!$C$2:$C$50,MATCH($E16,Products!$A$2:$A$50,0)),0))</f>
        <v>900</v>
      </c>
      <c r="J16" s="41" t="n">
        <f aca="false">IF($A16="","",IFERROR(INDEX(Products!$D$2:$D$50,MATCH($E16,Products!$A$2:$A$50,0)),0))</f>
        <v>620</v>
      </c>
      <c r="K16" s="41" t="n">
        <f aca="false">IF($A16="","",$F16*$I16*(1-$G16))</f>
        <v>10800</v>
      </c>
      <c r="L16" s="41" t="n">
        <f aca="false">IF($A16="","",$F16*$J16)</f>
        <v>7440</v>
      </c>
      <c r="M16" s="41" t="n">
        <f aca="false">IF($A16="","",$K16-$L16)</f>
        <v>3360</v>
      </c>
    </row>
    <row r="17" customFormat="false" ht="15" hidden="false" customHeight="false" outlineLevel="0" collapsed="false">
      <c r="A17" s="37" t="s">
        <v>109</v>
      </c>
      <c r="B17" s="38" t="n">
        <v>45683</v>
      </c>
      <c r="C17" s="37" t="s">
        <v>82</v>
      </c>
      <c r="D17" s="37" t="s">
        <v>93</v>
      </c>
      <c r="E17" s="37" t="s">
        <v>103</v>
      </c>
      <c r="F17" s="39" t="n">
        <v>4</v>
      </c>
      <c r="G17" s="40" t="n">
        <v>0.15</v>
      </c>
      <c r="H17" s="8" t="str">
        <f aca="false">IF($A17="","",IFERROR(INDEX(Products!$B$2:$B$50,MATCH($E17,Products!$A$2:$A$50,0)),"Unmapped"))</f>
        <v>Electronics</v>
      </c>
      <c r="I17" s="41" t="n">
        <f aca="false">IF($A17="","",IFERROR(INDEX(Products!$C$2:$C$50,MATCH($E17,Products!$A$2:$A$50,0)),0))</f>
        <v>900</v>
      </c>
      <c r="J17" s="41" t="n">
        <f aca="false">IF($A17="","",IFERROR(INDEX(Products!$D$2:$D$50,MATCH($E17,Products!$A$2:$A$50,0)),0))</f>
        <v>620</v>
      </c>
      <c r="K17" s="41" t="n">
        <f aca="false">IF($A17="","",$F17*$I17*(1-$G17))</f>
        <v>3060</v>
      </c>
      <c r="L17" s="41" t="n">
        <f aca="false">IF($A17="","",$F17*$J17)</f>
        <v>2480</v>
      </c>
      <c r="M17" s="41" t="n">
        <f aca="false">IF($A17="","",$K17-$L17)</f>
        <v>580</v>
      </c>
    </row>
    <row r="18" customFormat="false" ht="15" hidden="false" customHeight="false" outlineLevel="0" collapsed="false">
      <c r="A18" s="37" t="s">
        <v>110</v>
      </c>
      <c r="B18" s="38" t="n">
        <v>45683</v>
      </c>
      <c r="C18" s="37" t="s">
        <v>88</v>
      </c>
      <c r="D18" s="37" t="s">
        <v>111</v>
      </c>
      <c r="E18" s="37" t="s">
        <v>103</v>
      </c>
      <c r="F18" s="39" t="n">
        <v>17</v>
      </c>
      <c r="G18" s="40" t="n">
        <v>0.05</v>
      </c>
      <c r="H18" s="8" t="str">
        <f aca="false">IF($A18="","",IFERROR(INDEX(Products!$B$2:$B$50,MATCH($E18,Products!$A$2:$A$50,0)),"Unmapped"))</f>
        <v>Electronics</v>
      </c>
      <c r="I18" s="41" t="n">
        <f aca="false">IF($A18="","",IFERROR(INDEX(Products!$C$2:$C$50,MATCH($E18,Products!$A$2:$A$50,0)),0))</f>
        <v>900</v>
      </c>
      <c r="J18" s="41" t="n">
        <f aca="false">IF($A18="","",IFERROR(INDEX(Products!$D$2:$D$50,MATCH($E18,Products!$A$2:$A$50,0)),0))</f>
        <v>620</v>
      </c>
      <c r="K18" s="41" t="n">
        <f aca="false">IF($A18="","",$F18*$I18*(1-$G18))</f>
        <v>14535</v>
      </c>
      <c r="L18" s="41" t="n">
        <f aca="false">IF($A18="","",$F18*$J18)</f>
        <v>10540</v>
      </c>
      <c r="M18" s="41" t="n">
        <f aca="false">IF($A18="","",$K18-$L18)</f>
        <v>3995</v>
      </c>
    </row>
    <row r="19" customFormat="false" ht="15" hidden="false" customHeight="false" outlineLevel="0" collapsed="false">
      <c r="A19" s="37" t="s">
        <v>112</v>
      </c>
      <c r="B19" s="38" t="n">
        <v>45684</v>
      </c>
      <c r="C19" s="37" t="s">
        <v>78</v>
      </c>
      <c r="D19" s="37" t="s">
        <v>79</v>
      </c>
      <c r="E19" s="37" t="s">
        <v>84</v>
      </c>
      <c r="F19" s="39" t="n">
        <v>36</v>
      </c>
      <c r="G19" s="40" t="n">
        <v>0</v>
      </c>
      <c r="H19" s="8" t="str">
        <f aca="false">IF($A19="","",IFERROR(INDEX(Products!$B$2:$B$50,MATCH($E19,Products!$A$2:$A$50,0)),"Unmapped"))</f>
        <v>Stationery</v>
      </c>
      <c r="I19" s="41" t="n">
        <f aca="false">IF($A19="","",IFERROR(INDEX(Products!$C$2:$C$50,MATCH($E19,Products!$A$2:$A$50,0)),0))</f>
        <v>350</v>
      </c>
      <c r="J19" s="41" t="n">
        <f aca="false">IF($A19="","",IFERROR(INDEX(Products!$D$2:$D$50,MATCH($E19,Products!$A$2:$A$50,0)),0))</f>
        <v>240</v>
      </c>
      <c r="K19" s="41" t="n">
        <f aca="false">IF($A19="","",$F19*$I19*(1-$G19))</f>
        <v>12600</v>
      </c>
      <c r="L19" s="41" t="n">
        <f aca="false">IF($A19="","",$F19*$J19)</f>
        <v>8640</v>
      </c>
      <c r="M19" s="41" t="n">
        <f aca="false">IF($A19="","",$K19-$L19)</f>
        <v>3960</v>
      </c>
    </row>
    <row r="20" customFormat="false" ht="15" hidden="false" customHeight="false" outlineLevel="0" collapsed="false">
      <c r="A20" s="37" t="s">
        <v>113</v>
      </c>
      <c r="B20" s="38" t="n">
        <v>45685</v>
      </c>
      <c r="C20" s="37" t="s">
        <v>88</v>
      </c>
      <c r="D20" s="37" t="s">
        <v>111</v>
      </c>
      <c r="E20" s="37" t="s">
        <v>114</v>
      </c>
      <c r="F20" s="39" t="n">
        <v>36</v>
      </c>
      <c r="G20" s="40" t="n">
        <v>0.1</v>
      </c>
      <c r="H20" s="8" t="str">
        <f aca="false">IF($A20="","",IFERROR(INDEX(Products!$B$2:$B$50,MATCH($E20,Products!$A$2:$A$50,0)),"Unmapped"))</f>
        <v>Pantry</v>
      </c>
      <c r="I20" s="41" t="n">
        <f aca="false">IF($A20="","",IFERROR(INDEX(Products!$C$2:$C$50,MATCH($E20,Products!$A$2:$A$50,0)),0))</f>
        <v>1500</v>
      </c>
      <c r="J20" s="41" t="n">
        <f aca="false">IF($A20="","",IFERROR(INDEX(Products!$D$2:$D$50,MATCH($E20,Products!$A$2:$A$50,0)),0))</f>
        <v>1100</v>
      </c>
      <c r="K20" s="41" t="n">
        <f aca="false">IF($A20="","",$F20*$I20*(1-$G20))</f>
        <v>48600</v>
      </c>
      <c r="L20" s="41" t="n">
        <f aca="false">IF($A20="","",$F20*$J20)</f>
        <v>39600</v>
      </c>
      <c r="M20" s="41" t="n">
        <f aca="false">IF($A20="","",$K20-$L20)</f>
        <v>9000</v>
      </c>
    </row>
    <row r="21" customFormat="false" ht="15" hidden="false" customHeight="false" outlineLevel="0" collapsed="false">
      <c r="A21" s="37" t="s">
        <v>115</v>
      </c>
      <c r="B21" s="38" t="n">
        <v>45685</v>
      </c>
      <c r="C21" s="37" t="s">
        <v>105</v>
      </c>
      <c r="D21" s="37" t="s">
        <v>116</v>
      </c>
      <c r="E21" s="37" t="s">
        <v>90</v>
      </c>
      <c r="F21" s="39" t="n">
        <v>34</v>
      </c>
      <c r="G21" s="40" t="n">
        <v>0</v>
      </c>
      <c r="H21" s="8" t="str">
        <f aca="false">IF($A21="","",IFERROR(INDEX(Products!$B$2:$B$50,MATCH($E21,Products!$A$2:$A$50,0)),"Unmapped"))</f>
        <v>Stationery</v>
      </c>
      <c r="I21" s="41" t="n">
        <f aca="false">IF($A21="","",IFERROR(INDEX(Products!$C$2:$C$50,MATCH($E21,Products!$A$2:$A$50,0)),0))</f>
        <v>120</v>
      </c>
      <c r="J21" s="41" t="n">
        <f aca="false">IF($A21="","",IFERROR(INDEX(Products!$D$2:$D$50,MATCH($E21,Products!$A$2:$A$50,0)),0))</f>
        <v>80</v>
      </c>
      <c r="K21" s="41" t="n">
        <f aca="false">IF($A21="","",$F21*$I21*(1-$G21))</f>
        <v>4080</v>
      </c>
      <c r="L21" s="41" t="n">
        <f aca="false">IF($A21="","",$F21*$J21)</f>
        <v>2720</v>
      </c>
      <c r="M21" s="41" t="n">
        <f aca="false">IF($A21="","",$K21-$L21)</f>
        <v>1360</v>
      </c>
    </row>
    <row r="22" customFormat="false" ht="15" hidden="false" customHeight="false" outlineLevel="0" collapsed="false">
      <c r="A22" s="37" t="s">
        <v>117</v>
      </c>
      <c r="B22" s="38" t="n">
        <v>45686</v>
      </c>
      <c r="C22" s="37" t="s">
        <v>88</v>
      </c>
      <c r="D22" s="37" t="s">
        <v>89</v>
      </c>
      <c r="E22" s="37" t="s">
        <v>96</v>
      </c>
      <c r="F22" s="39" t="n">
        <v>6</v>
      </c>
      <c r="G22" s="40" t="n">
        <v>0</v>
      </c>
      <c r="H22" s="8" t="str">
        <f aca="false">IF($A22="","",IFERROR(INDEX(Products!$B$2:$B$50,MATCH($E22,Products!$A$2:$A$50,0)),"Unmapped"))</f>
        <v>Furniture</v>
      </c>
      <c r="I22" s="41" t="n">
        <f aca="false">IF($A22="","",IFERROR(INDEX(Products!$C$2:$C$50,MATCH($E22,Products!$A$2:$A$50,0)),0))</f>
        <v>4800</v>
      </c>
      <c r="J22" s="41" t="n">
        <f aca="false">IF($A22="","",IFERROR(INDEX(Products!$D$2:$D$50,MATCH($E22,Products!$A$2:$A$50,0)),0))</f>
        <v>3500</v>
      </c>
      <c r="K22" s="41" t="n">
        <f aca="false">IF($A22="","",$F22*$I22*(1-$G22))</f>
        <v>28800</v>
      </c>
      <c r="L22" s="41" t="n">
        <f aca="false">IF($A22="","",$F22*$J22)</f>
        <v>21000</v>
      </c>
      <c r="M22" s="41" t="n">
        <f aca="false">IF($A22="","",$K22-$L22)</f>
        <v>7800</v>
      </c>
    </row>
    <row r="23" customFormat="false" ht="15" hidden="false" customHeight="false" outlineLevel="0" collapsed="false">
      <c r="A23" s="37" t="s">
        <v>118</v>
      </c>
      <c r="B23" s="38" t="n">
        <v>45688</v>
      </c>
      <c r="C23" s="37" t="s">
        <v>82</v>
      </c>
      <c r="D23" s="37" t="s">
        <v>83</v>
      </c>
      <c r="E23" s="37" t="s">
        <v>114</v>
      </c>
      <c r="F23" s="39" t="n">
        <v>24</v>
      </c>
      <c r="G23" s="40" t="n">
        <v>0</v>
      </c>
      <c r="H23" s="8" t="str">
        <f aca="false">IF($A23="","",IFERROR(INDEX(Products!$B$2:$B$50,MATCH($E23,Products!$A$2:$A$50,0)),"Unmapped"))</f>
        <v>Pantry</v>
      </c>
      <c r="I23" s="41" t="n">
        <f aca="false">IF($A23="","",IFERROR(INDEX(Products!$C$2:$C$50,MATCH($E23,Products!$A$2:$A$50,0)),0))</f>
        <v>1500</v>
      </c>
      <c r="J23" s="41" t="n">
        <f aca="false">IF($A23="","",IFERROR(INDEX(Products!$D$2:$D$50,MATCH($E23,Products!$A$2:$A$50,0)),0))</f>
        <v>1100</v>
      </c>
      <c r="K23" s="41" t="n">
        <f aca="false">IF($A23="","",$F23*$I23*(1-$G23))</f>
        <v>36000</v>
      </c>
      <c r="L23" s="41" t="n">
        <f aca="false">IF($A23="","",$F23*$J23)</f>
        <v>26400</v>
      </c>
      <c r="M23" s="41" t="n">
        <f aca="false">IF($A23="","",$K23-$L23)</f>
        <v>9600</v>
      </c>
    </row>
    <row r="24" customFormat="false" ht="15" hidden="false" customHeight="false" outlineLevel="0" collapsed="false">
      <c r="A24" s="37" t="s">
        <v>119</v>
      </c>
      <c r="B24" s="38" t="n">
        <v>45689</v>
      </c>
      <c r="C24" s="37" t="s">
        <v>105</v>
      </c>
      <c r="D24" s="37" t="s">
        <v>116</v>
      </c>
      <c r="E24" s="37" t="s">
        <v>84</v>
      </c>
      <c r="F24" s="39" t="n">
        <v>70</v>
      </c>
      <c r="G24" s="40" t="n">
        <v>0</v>
      </c>
      <c r="H24" s="8" t="str">
        <f aca="false">IF($A24="","",IFERROR(INDEX(Products!$B$2:$B$50,MATCH($E24,Products!$A$2:$A$50,0)),"Unmapped"))</f>
        <v>Stationery</v>
      </c>
      <c r="I24" s="41" t="n">
        <f aca="false">IF($A24="","",IFERROR(INDEX(Products!$C$2:$C$50,MATCH($E24,Products!$A$2:$A$50,0)),0))</f>
        <v>350</v>
      </c>
      <c r="J24" s="41" t="n">
        <f aca="false">IF($A24="","",IFERROR(INDEX(Products!$D$2:$D$50,MATCH($E24,Products!$A$2:$A$50,0)),0))</f>
        <v>240</v>
      </c>
      <c r="K24" s="41" t="n">
        <f aca="false">IF($A24="","",$F24*$I24*(1-$G24))</f>
        <v>24500</v>
      </c>
      <c r="L24" s="41" t="n">
        <f aca="false">IF($A24="","",$F24*$J24)</f>
        <v>16800</v>
      </c>
      <c r="M24" s="41" t="n">
        <f aca="false">IF($A24="","",$K24-$L24)</f>
        <v>7700</v>
      </c>
    </row>
    <row r="25" customFormat="false" ht="15" hidden="false" customHeight="false" outlineLevel="0" collapsed="false">
      <c r="A25" s="37" t="s">
        <v>120</v>
      </c>
      <c r="B25" s="38" t="n">
        <v>45690</v>
      </c>
      <c r="C25" s="37" t="s">
        <v>105</v>
      </c>
      <c r="D25" s="37" t="s">
        <v>106</v>
      </c>
      <c r="E25" s="37" t="s">
        <v>121</v>
      </c>
      <c r="F25" s="39" t="n">
        <v>27</v>
      </c>
      <c r="G25" s="40" t="n">
        <v>0.05</v>
      </c>
      <c r="H25" s="8" t="str">
        <f aca="false">IF($A25="","",IFERROR(INDEX(Products!$B$2:$B$50,MATCH($E25,Products!$A$2:$A$50,0)),"Unmapped"))</f>
        <v>Electronics</v>
      </c>
      <c r="I25" s="41" t="n">
        <f aca="false">IF($A25="","",IFERROR(INDEX(Products!$C$2:$C$50,MATCH($E25,Products!$A$2:$A$50,0)),0))</f>
        <v>650</v>
      </c>
      <c r="J25" s="41" t="n">
        <f aca="false">IF($A25="","",IFERROR(INDEX(Products!$D$2:$D$50,MATCH($E25,Products!$A$2:$A$50,0)),0))</f>
        <v>430</v>
      </c>
      <c r="K25" s="41" t="n">
        <f aca="false">IF($A25="","",$F25*$I25*(1-$G25))</f>
        <v>16672.5</v>
      </c>
      <c r="L25" s="41" t="n">
        <f aca="false">IF($A25="","",$F25*$J25)</f>
        <v>11610</v>
      </c>
      <c r="M25" s="41" t="n">
        <f aca="false">IF($A25="","",$K25-$L25)</f>
        <v>5062.5</v>
      </c>
    </row>
    <row r="26" customFormat="false" ht="15" hidden="false" customHeight="false" outlineLevel="0" collapsed="false">
      <c r="A26" s="37" t="s">
        <v>122</v>
      </c>
      <c r="B26" s="38" t="n">
        <v>45690</v>
      </c>
      <c r="C26" s="37" t="s">
        <v>105</v>
      </c>
      <c r="D26" s="37" t="s">
        <v>106</v>
      </c>
      <c r="E26" s="37" t="s">
        <v>94</v>
      </c>
      <c r="F26" s="39" t="n">
        <v>107</v>
      </c>
      <c r="G26" s="40" t="n">
        <v>0.05</v>
      </c>
      <c r="H26" s="8" t="str">
        <f aca="false">IF($A26="","",IFERROR(INDEX(Products!$B$2:$B$50,MATCH($E26,Products!$A$2:$A$50,0)),"Unmapped"))</f>
        <v>Stationery</v>
      </c>
      <c r="I26" s="41" t="n">
        <f aca="false">IF($A26="","",IFERROR(INDEX(Products!$C$2:$C$50,MATCH($E26,Products!$A$2:$A$50,0)),0))</f>
        <v>280</v>
      </c>
      <c r="J26" s="41" t="n">
        <f aca="false">IF($A26="","",IFERROR(INDEX(Products!$D$2:$D$50,MATCH($E26,Products!$A$2:$A$50,0)),0))</f>
        <v>210</v>
      </c>
      <c r="K26" s="41" t="n">
        <f aca="false">IF($A26="","",$F26*$I26*(1-$G26))</f>
        <v>28462</v>
      </c>
      <c r="L26" s="41" t="n">
        <f aca="false">IF($A26="","",$F26*$J26)</f>
        <v>22470</v>
      </c>
      <c r="M26" s="41" t="n">
        <f aca="false">IF($A26="","",$K26-$L26)</f>
        <v>5992</v>
      </c>
    </row>
    <row r="27" customFormat="false" ht="15" hidden="false" customHeight="false" outlineLevel="0" collapsed="false">
      <c r="A27" s="37" t="s">
        <v>123</v>
      </c>
      <c r="B27" s="38" t="n">
        <v>45691</v>
      </c>
      <c r="C27" s="37" t="s">
        <v>78</v>
      </c>
      <c r="D27" s="37" t="s">
        <v>79</v>
      </c>
      <c r="E27" s="37" t="s">
        <v>103</v>
      </c>
      <c r="F27" s="39" t="n">
        <v>4</v>
      </c>
      <c r="G27" s="40" t="n">
        <v>0.15</v>
      </c>
      <c r="H27" s="8" t="str">
        <f aca="false">IF($A27="","",IFERROR(INDEX(Products!$B$2:$B$50,MATCH($E27,Products!$A$2:$A$50,0)),"Unmapped"))</f>
        <v>Electronics</v>
      </c>
      <c r="I27" s="41" t="n">
        <f aca="false">IF($A27="","",IFERROR(INDEX(Products!$C$2:$C$50,MATCH($E27,Products!$A$2:$A$50,0)),0))</f>
        <v>900</v>
      </c>
      <c r="J27" s="41" t="n">
        <f aca="false">IF($A27="","",IFERROR(INDEX(Products!$D$2:$D$50,MATCH($E27,Products!$A$2:$A$50,0)),0))</f>
        <v>620</v>
      </c>
      <c r="K27" s="41" t="n">
        <f aca="false">IF($A27="","",$F27*$I27*(1-$G27))</f>
        <v>3060</v>
      </c>
      <c r="L27" s="41" t="n">
        <f aca="false">IF($A27="","",$F27*$J27)</f>
        <v>2480</v>
      </c>
      <c r="M27" s="41" t="n">
        <f aca="false">IF($A27="","",$K27-$L27)</f>
        <v>580</v>
      </c>
    </row>
    <row r="28" customFormat="false" ht="15" hidden="false" customHeight="false" outlineLevel="0" collapsed="false">
      <c r="A28" s="37" t="s">
        <v>124</v>
      </c>
      <c r="B28" s="38" t="n">
        <v>45693</v>
      </c>
      <c r="C28" s="37" t="s">
        <v>82</v>
      </c>
      <c r="D28" s="37" t="s">
        <v>83</v>
      </c>
      <c r="E28" s="37" t="s">
        <v>94</v>
      </c>
      <c r="F28" s="39" t="n">
        <v>118</v>
      </c>
      <c r="G28" s="40" t="n">
        <v>0</v>
      </c>
      <c r="H28" s="8" t="str">
        <f aca="false">IF($A28="","",IFERROR(INDEX(Products!$B$2:$B$50,MATCH($E28,Products!$A$2:$A$50,0)),"Unmapped"))</f>
        <v>Stationery</v>
      </c>
      <c r="I28" s="41" t="n">
        <f aca="false">IF($A28="","",IFERROR(INDEX(Products!$C$2:$C$50,MATCH($E28,Products!$A$2:$A$50,0)),0))</f>
        <v>280</v>
      </c>
      <c r="J28" s="41" t="n">
        <f aca="false">IF($A28="","",IFERROR(INDEX(Products!$D$2:$D$50,MATCH($E28,Products!$A$2:$A$50,0)),0))</f>
        <v>210</v>
      </c>
      <c r="K28" s="41" t="n">
        <f aca="false">IF($A28="","",$F28*$I28*(1-$G28))</f>
        <v>33040</v>
      </c>
      <c r="L28" s="41" t="n">
        <f aca="false">IF($A28="","",$F28*$J28)</f>
        <v>24780</v>
      </c>
      <c r="M28" s="41" t="n">
        <f aca="false">IF($A28="","",$K28-$L28)</f>
        <v>8260</v>
      </c>
    </row>
    <row r="29" customFormat="false" ht="15" hidden="false" customHeight="false" outlineLevel="0" collapsed="false">
      <c r="A29" s="37" t="s">
        <v>125</v>
      </c>
      <c r="B29" s="38" t="n">
        <v>45694</v>
      </c>
      <c r="C29" s="37" t="s">
        <v>88</v>
      </c>
      <c r="D29" s="37" t="s">
        <v>89</v>
      </c>
      <c r="E29" s="37" t="s">
        <v>96</v>
      </c>
      <c r="F29" s="39" t="n">
        <v>8</v>
      </c>
      <c r="G29" s="40" t="n">
        <v>0.05</v>
      </c>
      <c r="H29" s="8" t="str">
        <f aca="false">IF($A29="","",IFERROR(INDEX(Products!$B$2:$B$50,MATCH($E29,Products!$A$2:$A$50,0)),"Unmapped"))</f>
        <v>Furniture</v>
      </c>
      <c r="I29" s="41" t="n">
        <f aca="false">IF($A29="","",IFERROR(INDEX(Products!$C$2:$C$50,MATCH($E29,Products!$A$2:$A$50,0)),0))</f>
        <v>4800</v>
      </c>
      <c r="J29" s="41" t="n">
        <f aca="false">IF($A29="","",IFERROR(INDEX(Products!$D$2:$D$50,MATCH($E29,Products!$A$2:$A$50,0)),0))</f>
        <v>3500</v>
      </c>
      <c r="K29" s="41" t="n">
        <f aca="false">IF($A29="","",$F29*$I29*(1-$G29))</f>
        <v>36480</v>
      </c>
      <c r="L29" s="41" t="n">
        <f aca="false">IF($A29="","",$F29*$J29)</f>
        <v>28000</v>
      </c>
      <c r="M29" s="41" t="n">
        <f aca="false">IF($A29="","",$K29-$L29)</f>
        <v>8480</v>
      </c>
    </row>
    <row r="30" customFormat="false" ht="15" hidden="false" customHeight="false" outlineLevel="0" collapsed="false">
      <c r="A30" s="37" t="s">
        <v>126</v>
      </c>
      <c r="B30" s="38" t="n">
        <v>45696</v>
      </c>
      <c r="C30" s="37" t="s">
        <v>78</v>
      </c>
      <c r="D30" s="37" t="s">
        <v>79</v>
      </c>
      <c r="E30" s="37" t="s">
        <v>121</v>
      </c>
      <c r="F30" s="39" t="n">
        <v>27</v>
      </c>
      <c r="G30" s="40" t="n">
        <v>0.05</v>
      </c>
      <c r="H30" s="8" t="str">
        <f aca="false">IF($A30="","",IFERROR(INDEX(Products!$B$2:$B$50,MATCH($E30,Products!$A$2:$A$50,0)),"Unmapped"))</f>
        <v>Electronics</v>
      </c>
      <c r="I30" s="41" t="n">
        <f aca="false">IF($A30="","",IFERROR(INDEX(Products!$C$2:$C$50,MATCH($E30,Products!$A$2:$A$50,0)),0))</f>
        <v>650</v>
      </c>
      <c r="J30" s="41" t="n">
        <f aca="false">IF($A30="","",IFERROR(INDEX(Products!$D$2:$D$50,MATCH($E30,Products!$A$2:$A$50,0)),0))</f>
        <v>430</v>
      </c>
      <c r="K30" s="41" t="n">
        <f aca="false">IF($A30="","",$F30*$I30*(1-$G30))</f>
        <v>16672.5</v>
      </c>
      <c r="L30" s="41" t="n">
        <f aca="false">IF($A30="","",$F30*$J30)</f>
        <v>11610</v>
      </c>
      <c r="M30" s="41" t="n">
        <f aca="false">IF($A30="","",$K30-$L30)</f>
        <v>5062.5</v>
      </c>
    </row>
    <row r="31" customFormat="false" ht="15" hidden="false" customHeight="false" outlineLevel="0" collapsed="false">
      <c r="A31" s="37" t="s">
        <v>127</v>
      </c>
      <c r="B31" s="38" t="n">
        <v>45696</v>
      </c>
      <c r="C31" s="37" t="s">
        <v>82</v>
      </c>
      <c r="D31" s="37" t="s">
        <v>93</v>
      </c>
      <c r="E31" s="37" t="s">
        <v>94</v>
      </c>
      <c r="F31" s="39" t="n">
        <v>147</v>
      </c>
      <c r="G31" s="40" t="n">
        <v>0.05</v>
      </c>
      <c r="H31" s="8" t="str">
        <f aca="false">IF($A31="","",IFERROR(INDEX(Products!$B$2:$B$50,MATCH($E31,Products!$A$2:$A$50,0)),"Unmapped"))</f>
        <v>Stationery</v>
      </c>
      <c r="I31" s="41" t="n">
        <f aca="false">IF($A31="","",IFERROR(INDEX(Products!$C$2:$C$50,MATCH($E31,Products!$A$2:$A$50,0)),0))</f>
        <v>280</v>
      </c>
      <c r="J31" s="41" t="n">
        <f aca="false">IF($A31="","",IFERROR(INDEX(Products!$D$2:$D$50,MATCH($E31,Products!$A$2:$A$50,0)),0))</f>
        <v>210</v>
      </c>
      <c r="K31" s="41" t="n">
        <f aca="false">IF($A31="","",$F31*$I31*(1-$G31))</f>
        <v>39102</v>
      </c>
      <c r="L31" s="41" t="n">
        <f aca="false">IF($A31="","",$F31*$J31)</f>
        <v>30870</v>
      </c>
      <c r="M31" s="41" t="n">
        <f aca="false">IF($A31="","",$K31-$L31)</f>
        <v>8232</v>
      </c>
    </row>
    <row r="32" customFormat="false" ht="15" hidden="false" customHeight="false" outlineLevel="0" collapsed="false">
      <c r="A32" s="37" t="s">
        <v>128</v>
      </c>
      <c r="B32" s="38" t="n">
        <v>45696</v>
      </c>
      <c r="C32" s="37" t="s">
        <v>88</v>
      </c>
      <c r="D32" s="37" t="s">
        <v>111</v>
      </c>
      <c r="E32" s="37" t="s">
        <v>107</v>
      </c>
      <c r="F32" s="39" t="n">
        <v>1</v>
      </c>
      <c r="G32" s="40" t="n">
        <v>0</v>
      </c>
      <c r="H32" s="8" t="str">
        <f aca="false">IF($A32="","",IFERROR(INDEX(Products!$B$2:$B$50,MATCH($E32,Products!$A$2:$A$50,0)),"Unmapped"))</f>
        <v>Furniture</v>
      </c>
      <c r="I32" s="41" t="n">
        <f aca="false">IF($A32="","",IFERROR(INDEX(Products!$C$2:$C$50,MATCH($E32,Products!$A$2:$A$50,0)),0))</f>
        <v>7200</v>
      </c>
      <c r="J32" s="41" t="n">
        <f aca="false">IF($A32="","",IFERROR(INDEX(Products!$D$2:$D$50,MATCH($E32,Products!$A$2:$A$50,0)),0))</f>
        <v>5400</v>
      </c>
      <c r="K32" s="41" t="n">
        <f aca="false">IF($A32="","",$F32*$I32*(1-$G32))</f>
        <v>7200</v>
      </c>
      <c r="L32" s="41" t="n">
        <f aca="false">IF($A32="","",$F32*$J32)</f>
        <v>5400</v>
      </c>
      <c r="M32" s="41" t="n">
        <f aca="false">IF($A32="","",$K32-$L32)</f>
        <v>1800</v>
      </c>
    </row>
    <row r="33" customFormat="false" ht="15" hidden="false" customHeight="false" outlineLevel="0" collapsed="false">
      <c r="A33" s="37" t="s">
        <v>129</v>
      </c>
      <c r="B33" s="38" t="n">
        <v>45698</v>
      </c>
      <c r="C33" s="37" t="s">
        <v>82</v>
      </c>
      <c r="D33" s="37" t="s">
        <v>93</v>
      </c>
      <c r="E33" s="37" t="s">
        <v>94</v>
      </c>
      <c r="F33" s="39" t="n">
        <v>42</v>
      </c>
      <c r="G33" s="40" t="n">
        <v>0</v>
      </c>
      <c r="H33" s="8" t="str">
        <f aca="false">IF($A33="","",IFERROR(INDEX(Products!$B$2:$B$50,MATCH($E33,Products!$A$2:$A$50,0)),"Unmapped"))</f>
        <v>Stationery</v>
      </c>
      <c r="I33" s="41" t="n">
        <f aca="false">IF($A33="","",IFERROR(INDEX(Products!$C$2:$C$50,MATCH($E33,Products!$A$2:$A$50,0)),0))</f>
        <v>280</v>
      </c>
      <c r="J33" s="41" t="n">
        <f aca="false">IF($A33="","",IFERROR(INDEX(Products!$D$2:$D$50,MATCH($E33,Products!$A$2:$A$50,0)),0))</f>
        <v>210</v>
      </c>
      <c r="K33" s="41" t="n">
        <f aca="false">IF($A33="","",$F33*$I33*(1-$G33))</f>
        <v>11760</v>
      </c>
      <c r="L33" s="41" t="n">
        <f aca="false">IF($A33="","",$F33*$J33)</f>
        <v>8820</v>
      </c>
      <c r="M33" s="41" t="n">
        <f aca="false">IF($A33="","",$K33-$L33)</f>
        <v>2940</v>
      </c>
    </row>
    <row r="34" customFormat="false" ht="15" hidden="false" customHeight="false" outlineLevel="0" collapsed="false">
      <c r="A34" s="37" t="s">
        <v>130</v>
      </c>
      <c r="B34" s="38" t="n">
        <v>45699</v>
      </c>
      <c r="C34" s="37" t="s">
        <v>105</v>
      </c>
      <c r="D34" s="37" t="s">
        <v>116</v>
      </c>
      <c r="E34" s="37" t="s">
        <v>114</v>
      </c>
      <c r="F34" s="39" t="n">
        <v>36</v>
      </c>
      <c r="G34" s="40" t="n">
        <v>0.1</v>
      </c>
      <c r="H34" s="8" t="str">
        <f aca="false">IF($A34="","",IFERROR(INDEX(Products!$B$2:$B$50,MATCH($E34,Products!$A$2:$A$50,0)),"Unmapped"))</f>
        <v>Pantry</v>
      </c>
      <c r="I34" s="41" t="n">
        <f aca="false">IF($A34="","",IFERROR(INDEX(Products!$C$2:$C$50,MATCH($E34,Products!$A$2:$A$50,0)),0))</f>
        <v>1500</v>
      </c>
      <c r="J34" s="41" t="n">
        <f aca="false">IF($A34="","",IFERROR(INDEX(Products!$D$2:$D$50,MATCH($E34,Products!$A$2:$A$50,0)),0))</f>
        <v>1100</v>
      </c>
      <c r="K34" s="41" t="n">
        <f aca="false">IF($A34="","",$F34*$I34*(1-$G34))</f>
        <v>48600</v>
      </c>
      <c r="L34" s="41" t="n">
        <f aca="false">IF($A34="","",$F34*$J34)</f>
        <v>39600</v>
      </c>
      <c r="M34" s="41" t="n">
        <f aca="false">IF($A34="","",$K34-$L34)</f>
        <v>9000</v>
      </c>
    </row>
    <row r="35" customFormat="false" ht="15" hidden="false" customHeight="false" outlineLevel="0" collapsed="false">
      <c r="A35" s="37" t="s">
        <v>131</v>
      </c>
      <c r="B35" s="38" t="n">
        <v>45700</v>
      </c>
      <c r="C35" s="37" t="s">
        <v>105</v>
      </c>
      <c r="D35" s="37" t="s">
        <v>106</v>
      </c>
      <c r="E35" s="37" t="s">
        <v>121</v>
      </c>
      <c r="F35" s="39" t="n">
        <v>4</v>
      </c>
      <c r="G35" s="40" t="n">
        <v>0.1</v>
      </c>
      <c r="H35" s="8" t="str">
        <f aca="false">IF($A35="","",IFERROR(INDEX(Products!$B$2:$B$50,MATCH($E35,Products!$A$2:$A$50,0)),"Unmapped"))</f>
        <v>Electronics</v>
      </c>
      <c r="I35" s="41" t="n">
        <f aca="false">IF($A35="","",IFERROR(INDEX(Products!$C$2:$C$50,MATCH($E35,Products!$A$2:$A$50,0)),0))</f>
        <v>650</v>
      </c>
      <c r="J35" s="41" t="n">
        <f aca="false">IF($A35="","",IFERROR(INDEX(Products!$D$2:$D$50,MATCH($E35,Products!$A$2:$A$50,0)),0))</f>
        <v>430</v>
      </c>
      <c r="K35" s="41" t="n">
        <f aca="false">IF($A35="","",$F35*$I35*(1-$G35))</f>
        <v>2340</v>
      </c>
      <c r="L35" s="41" t="n">
        <f aca="false">IF($A35="","",$F35*$J35)</f>
        <v>1720</v>
      </c>
      <c r="M35" s="41" t="n">
        <f aca="false">IF($A35="","",$K35-$L35)</f>
        <v>620</v>
      </c>
    </row>
    <row r="36" customFormat="false" ht="15" hidden="false" customHeight="false" outlineLevel="0" collapsed="false">
      <c r="A36" s="37" t="s">
        <v>132</v>
      </c>
      <c r="B36" s="38" t="n">
        <v>45702</v>
      </c>
      <c r="C36" s="37" t="s">
        <v>78</v>
      </c>
      <c r="D36" s="37" t="s">
        <v>79</v>
      </c>
      <c r="E36" s="37" t="s">
        <v>107</v>
      </c>
      <c r="F36" s="39" t="n">
        <v>5</v>
      </c>
      <c r="G36" s="40" t="n">
        <v>0</v>
      </c>
      <c r="H36" s="8" t="str">
        <f aca="false">IF($A36="","",IFERROR(INDEX(Products!$B$2:$B$50,MATCH($E36,Products!$A$2:$A$50,0)),"Unmapped"))</f>
        <v>Furniture</v>
      </c>
      <c r="I36" s="41" t="n">
        <f aca="false">IF($A36="","",IFERROR(INDEX(Products!$C$2:$C$50,MATCH($E36,Products!$A$2:$A$50,0)),0))</f>
        <v>7200</v>
      </c>
      <c r="J36" s="41" t="n">
        <f aca="false">IF($A36="","",IFERROR(INDEX(Products!$D$2:$D$50,MATCH($E36,Products!$A$2:$A$50,0)),0))</f>
        <v>5400</v>
      </c>
      <c r="K36" s="41" t="n">
        <f aca="false">IF($A36="","",$F36*$I36*(1-$G36))</f>
        <v>36000</v>
      </c>
      <c r="L36" s="41" t="n">
        <f aca="false">IF($A36="","",$F36*$J36)</f>
        <v>27000</v>
      </c>
      <c r="M36" s="41" t="n">
        <f aca="false">IF($A36="","",$K36-$L36)</f>
        <v>9000</v>
      </c>
    </row>
    <row r="37" customFormat="false" ht="15" hidden="false" customHeight="false" outlineLevel="0" collapsed="false">
      <c r="A37" s="37" t="s">
        <v>133</v>
      </c>
      <c r="B37" s="38" t="n">
        <v>45702</v>
      </c>
      <c r="C37" s="37" t="s">
        <v>78</v>
      </c>
      <c r="D37" s="37" t="s">
        <v>86</v>
      </c>
      <c r="E37" s="37" t="s">
        <v>134</v>
      </c>
      <c r="F37" s="39" t="n">
        <v>6</v>
      </c>
      <c r="G37" s="40" t="n">
        <v>0</v>
      </c>
      <c r="H37" s="8" t="str">
        <f aca="false">IF($A37="","",IFERROR(INDEX(Products!$B$2:$B$50,MATCH($E37,Products!$A$2:$A$50,0)),"Unmapped"))</f>
        <v>Furniture</v>
      </c>
      <c r="I37" s="41" t="n">
        <f aca="false">IF($A37="","",IFERROR(INDEX(Products!$C$2:$C$50,MATCH($E37,Products!$A$2:$A$50,0)),0))</f>
        <v>6100</v>
      </c>
      <c r="J37" s="41" t="n">
        <f aca="false">IF($A37="","",IFERROR(INDEX(Products!$D$2:$D$50,MATCH($E37,Products!$A$2:$A$50,0)),0))</f>
        <v>4500</v>
      </c>
      <c r="K37" s="41" t="n">
        <f aca="false">IF($A37="","",$F37*$I37*(1-$G37))</f>
        <v>36600</v>
      </c>
      <c r="L37" s="41" t="n">
        <f aca="false">IF($A37="","",$F37*$J37)</f>
        <v>27000</v>
      </c>
      <c r="M37" s="41" t="n">
        <f aca="false">IF($A37="","",$K37-$L37)</f>
        <v>9600</v>
      </c>
    </row>
    <row r="38" customFormat="false" ht="15" hidden="false" customHeight="false" outlineLevel="0" collapsed="false">
      <c r="A38" s="37" t="s">
        <v>135</v>
      </c>
      <c r="B38" s="38" t="n">
        <v>45702</v>
      </c>
      <c r="C38" s="37" t="s">
        <v>82</v>
      </c>
      <c r="D38" s="37" t="s">
        <v>83</v>
      </c>
      <c r="E38" s="37" t="s">
        <v>134</v>
      </c>
      <c r="F38" s="39" t="n">
        <v>5</v>
      </c>
      <c r="G38" s="40" t="n">
        <v>0.15</v>
      </c>
      <c r="H38" s="8" t="str">
        <f aca="false">IF($A38="","",IFERROR(INDEX(Products!$B$2:$B$50,MATCH($E38,Products!$A$2:$A$50,0)),"Unmapped"))</f>
        <v>Furniture</v>
      </c>
      <c r="I38" s="41" t="n">
        <f aca="false">IF($A38="","",IFERROR(INDEX(Products!$C$2:$C$50,MATCH($E38,Products!$A$2:$A$50,0)),0))</f>
        <v>6100</v>
      </c>
      <c r="J38" s="41" t="n">
        <f aca="false">IF($A38="","",IFERROR(INDEX(Products!$D$2:$D$50,MATCH($E38,Products!$A$2:$A$50,0)),0))</f>
        <v>4500</v>
      </c>
      <c r="K38" s="41" t="n">
        <f aca="false">IF($A38="","",$F38*$I38*(1-$G38))</f>
        <v>25925</v>
      </c>
      <c r="L38" s="41" t="n">
        <f aca="false">IF($A38="","",$F38*$J38)</f>
        <v>22500</v>
      </c>
      <c r="M38" s="41" t="n">
        <f aca="false">IF($A38="","",$K38-$L38)</f>
        <v>3425</v>
      </c>
    </row>
    <row r="39" customFormat="false" ht="15" hidden="false" customHeight="false" outlineLevel="0" collapsed="false">
      <c r="A39" s="37" t="s">
        <v>136</v>
      </c>
      <c r="B39" s="38" t="n">
        <v>45703</v>
      </c>
      <c r="C39" s="37" t="s">
        <v>88</v>
      </c>
      <c r="D39" s="37" t="s">
        <v>111</v>
      </c>
      <c r="E39" s="37" t="s">
        <v>94</v>
      </c>
      <c r="F39" s="39" t="n">
        <v>74</v>
      </c>
      <c r="G39" s="40" t="n">
        <v>0.05</v>
      </c>
      <c r="H39" s="8" t="str">
        <f aca="false">IF($A39="","",IFERROR(INDEX(Products!$B$2:$B$50,MATCH($E39,Products!$A$2:$A$50,0)),"Unmapped"))</f>
        <v>Stationery</v>
      </c>
      <c r="I39" s="41" t="n">
        <f aca="false">IF($A39="","",IFERROR(INDEX(Products!$C$2:$C$50,MATCH($E39,Products!$A$2:$A$50,0)),0))</f>
        <v>280</v>
      </c>
      <c r="J39" s="41" t="n">
        <f aca="false">IF($A39="","",IFERROR(INDEX(Products!$D$2:$D$50,MATCH($E39,Products!$A$2:$A$50,0)),0))</f>
        <v>210</v>
      </c>
      <c r="K39" s="41" t="n">
        <f aca="false">IF($A39="","",$F39*$I39*(1-$G39))</f>
        <v>19684</v>
      </c>
      <c r="L39" s="41" t="n">
        <f aca="false">IF($A39="","",$F39*$J39)</f>
        <v>15540</v>
      </c>
      <c r="M39" s="41" t="n">
        <f aca="false">IF($A39="","",$K39-$L39)</f>
        <v>4144</v>
      </c>
    </row>
    <row r="40" customFormat="false" ht="15" hidden="false" customHeight="false" outlineLevel="0" collapsed="false">
      <c r="A40" s="37" t="s">
        <v>137</v>
      </c>
      <c r="B40" s="38" t="n">
        <v>45703</v>
      </c>
      <c r="C40" s="37" t="s">
        <v>88</v>
      </c>
      <c r="D40" s="37" t="s">
        <v>89</v>
      </c>
      <c r="E40" s="37" t="s">
        <v>90</v>
      </c>
      <c r="F40" s="39" t="n">
        <v>157</v>
      </c>
      <c r="G40" s="40" t="n">
        <v>0</v>
      </c>
      <c r="H40" s="8" t="str">
        <f aca="false">IF($A40="","",IFERROR(INDEX(Products!$B$2:$B$50,MATCH($E40,Products!$A$2:$A$50,0)),"Unmapped"))</f>
        <v>Stationery</v>
      </c>
      <c r="I40" s="41" t="n">
        <f aca="false">IF($A40="","",IFERROR(INDEX(Products!$C$2:$C$50,MATCH($E40,Products!$A$2:$A$50,0)),0))</f>
        <v>120</v>
      </c>
      <c r="J40" s="41" t="n">
        <f aca="false">IF($A40="","",IFERROR(INDEX(Products!$D$2:$D$50,MATCH($E40,Products!$A$2:$A$50,0)),0))</f>
        <v>80</v>
      </c>
      <c r="K40" s="41" t="n">
        <f aca="false">IF($A40="","",$F40*$I40*(1-$G40))</f>
        <v>18840</v>
      </c>
      <c r="L40" s="41" t="n">
        <f aca="false">IF($A40="","",$F40*$J40)</f>
        <v>12560</v>
      </c>
      <c r="M40" s="41" t="n">
        <f aca="false">IF($A40="","",$K40-$L40)</f>
        <v>6280</v>
      </c>
    </row>
    <row r="41" customFormat="false" ht="15" hidden="false" customHeight="false" outlineLevel="0" collapsed="false">
      <c r="A41" s="37" t="s">
        <v>138</v>
      </c>
      <c r="B41" s="38" t="n">
        <v>45704</v>
      </c>
      <c r="C41" s="37" t="s">
        <v>105</v>
      </c>
      <c r="D41" s="37" t="s">
        <v>106</v>
      </c>
      <c r="E41" s="37" t="s">
        <v>94</v>
      </c>
      <c r="F41" s="39" t="n">
        <v>141</v>
      </c>
      <c r="G41" s="40" t="n">
        <v>0.15</v>
      </c>
      <c r="H41" s="8" t="str">
        <f aca="false">IF($A41="","",IFERROR(INDEX(Products!$B$2:$B$50,MATCH($E41,Products!$A$2:$A$50,0)),"Unmapped"))</f>
        <v>Stationery</v>
      </c>
      <c r="I41" s="41" t="n">
        <f aca="false">IF($A41="","",IFERROR(INDEX(Products!$C$2:$C$50,MATCH($E41,Products!$A$2:$A$50,0)),0))</f>
        <v>280</v>
      </c>
      <c r="J41" s="41" t="n">
        <f aca="false">IF($A41="","",IFERROR(INDEX(Products!$D$2:$D$50,MATCH($E41,Products!$A$2:$A$50,0)),0))</f>
        <v>210</v>
      </c>
      <c r="K41" s="41" t="n">
        <f aca="false">IF($A41="","",$F41*$I41*(1-$G41))</f>
        <v>33558</v>
      </c>
      <c r="L41" s="41" t="n">
        <f aca="false">IF($A41="","",$F41*$J41)</f>
        <v>29610</v>
      </c>
      <c r="M41" s="41" t="n">
        <f aca="false">IF($A41="","",$K41-$L41)</f>
        <v>3948</v>
      </c>
    </row>
    <row r="42" customFormat="false" ht="15" hidden="false" customHeight="false" outlineLevel="0" collapsed="false">
      <c r="A42" s="37" t="s">
        <v>139</v>
      </c>
      <c r="B42" s="38" t="n">
        <v>45706</v>
      </c>
      <c r="C42" s="37" t="s">
        <v>105</v>
      </c>
      <c r="D42" s="37" t="s">
        <v>106</v>
      </c>
      <c r="E42" s="37" t="s">
        <v>134</v>
      </c>
      <c r="F42" s="39" t="n">
        <v>3</v>
      </c>
      <c r="G42" s="40" t="n">
        <v>0.05</v>
      </c>
      <c r="H42" s="8" t="str">
        <f aca="false">IF($A42="","",IFERROR(INDEX(Products!$B$2:$B$50,MATCH($E42,Products!$A$2:$A$50,0)),"Unmapped"))</f>
        <v>Furniture</v>
      </c>
      <c r="I42" s="41" t="n">
        <f aca="false">IF($A42="","",IFERROR(INDEX(Products!$C$2:$C$50,MATCH($E42,Products!$A$2:$A$50,0)),0))</f>
        <v>6100</v>
      </c>
      <c r="J42" s="41" t="n">
        <f aca="false">IF($A42="","",IFERROR(INDEX(Products!$D$2:$D$50,MATCH($E42,Products!$A$2:$A$50,0)),0))</f>
        <v>4500</v>
      </c>
      <c r="K42" s="41" t="n">
        <f aca="false">IF($A42="","",$F42*$I42*(1-$G42))</f>
        <v>17385</v>
      </c>
      <c r="L42" s="41" t="n">
        <f aca="false">IF($A42="","",$F42*$J42)</f>
        <v>13500</v>
      </c>
      <c r="M42" s="41" t="n">
        <f aca="false">IF($A42="","",$K42-$L42)</f>
        <v>3885</v>
      </c>
    </row>
    <row r="43" customFormat="false" ht="15" hidden="false" customHeight="false" outlineLevel="0" collapsed="false">
      <c r="A43" s="37" t="s">
        <v>140</v>
      </c>
      <c r="B43" s="38" t="n">
        <v>45708</v>
      </c>
      <c r="C43" s="37" t="s">
        <v>88</v>
      </c>
      <c r="D43" s="37" t="s">
        <v>89</v>
      </c>
      <c r="E43" s="37" t="s">
        <v>114</v>
      </c>
      <c r="F43" s="39" t="n">
        <v>25</v>
      </c>
      <c r="G43" s="40" t="n">
        <v>0</v>
      </c>
      <c r="H43" s="8" t="str">
        <f aca="false">IF($A43="","",IFERROR(INDEX(Products!$B$2:$B$50,MATCH($E43,Products!$A$2:$A$50,0)),"Unmapped"))</f>
        <v>Pantry</v>
      </c>
      <c r="I43" s="41" t="n">
        <f aca="false">IF($A43="","",IFERROR(INDEX(Products!$C$2:$C$50,MATCH($E43,Products!$A$2:$A$50,0)),0))</f>
        <v>1500</v>
      </c>
      <c r="J43" s="41" t="n">
        <f aca="false">IF($A43="","",IFERROR(INDEX(Products!$D$2:$D$50,MATCH($E43,Products!$A$2:$A$50,0)),0))</f>
        <v>1100</v>
      </c>
      <c r="K43" s="41" t="n">
        <f aca="false">IF($A43="","",$F43*$I43*(1-$G43))</f>
        <v>37500</v>
      </c>
      <c r="L43" s="41" t="n">
        <f aca="false">IF($A43="","",$F43*$J43)</f>
        <v>27500</v>
      </c>
      <c r="M43" s="41" t="n">
        <f aca="false">IF($A43="","",$K43-$L43)</f>
        <v>10000</v>
      </c>
    </row>
    <row r="44" customFormat="false" ht="15" hidden="false" customHeight="false" outlineLevel="0" collapsed="false">
      <c r="A44" s="37" t="s">
        <v>141</v>
      </c>
      <c r="B44" s="38" t="n">
        <v>45709</v>
      </c>
      <c r="C44" s="37" t="s">
        <v>78</v>
      </c>
      <c r="D44" s="37" t="s">
        <v>86</v>
      </c>
      <c r="E44" s="37" t="s">
        <v>90</v>
      </c>
      <c r="F44" s="39" t="n">
        <v>61</v>
      </c>
      <c r="G44" s="40" t="n">
        <v>0.05</v>
      </c>
      <c r="H44" s="8" t="str">
        <f aca="false">IF($A44="","",IFERROR(INDEX(Products!$B$2:$B$50,MATCH($E44,Products!$A$2:$A$50,0)),"Unmapped"))</f>
        <v>Stationery</v>
      </c>
      <c r="I44" s="41" t="n">
        <f aca="false">IF($A44="","",IFERROR(INDEX(Products!$C$2:$C$50,MATCH($E44,Products!$A$2:$A$50,0)),0))</f>
        <v>120</v>
      </c>
      <c r="J44" s="41" t="n">
        <f aca="false">IF($A44="","",IFERROR(INDEX(Products!$D$2:$D$50,MATCH($E44,Products!$A$2:$A$50,0)),0))</f>
        <v>80</v>
      </c>
      <c r="K44" s="41" t="n">
        <f aca="false">IF($A44="","",$F44*$I44*(1-$G44))</f>
        <v>6954</v>
      </c>
      <c r="L44" s="41" t="n">
        <f aca="false">IF($A44="","",$F44*$J44)</f>
        <v>4880</v>
      </c>
      <c r="M44" s="41" t="n">
        <f aca="false">IF($A44="","",$K44-$L44)</f>
        <v>2074</v>
      </c>
    </row>
    <row r="45" customFormat="false" ht="15" hidden="false" customHeight="false" outlineLevel="0" collapsed="false">
      <c r="A45" s="37" t="s">
        <v>142</v>
      </c>
      <c r="B45" s="38" t="n">
        <v>45709</v>
      </c>
      <c r="C45" s="37" t="s">
        <v>88</v>
      </c>
      <c r="D45" s="37" t="s">
        <v>111</v>
      </c>
      <c r="E45" s="37" t="s">
        <v>96</v>
      </c>
      <c r="F45" s="39" t="n">
        <v>12</v>
      </c>
      <c r="G45" s="40" t="n">
        <v>0</v>
      </c>
      <c r="H45" s="8" t="str">
        <f aca="false">IF($A45="","",IFERROR(INDEX(Products!$B$2:$B$50,MATCH($E45,Products!$A$2:$A$50,0)),"Unmapped"))</f>
        <v>Furniture</v>
      </c>
      <c r="I45" s="41" t="n">
        <f aca="false">IF($A45="","",IFERROR(INDEX(Products!$C$2:$C$50,MATCH($E45,Products!$A$2:$A$50,0)),0))</f>
        <v>4800</v>
      </c>
      <c r="J45" s="41" t="n">
        <f aca="false">IF($A45="","",IFERROR(INDEX(Products!$D$2:$D$50,MATCH($E45,Products!$A$2:$A$50,0)),0))</f>
        <v>3500</v>
      </c>
      <c r="K45" s="41" t="n">
        <f aca="false">IF($A45="","",$F45*$I45*(1-$G45))</f>
        <v>57600</v>
      </c>
      <c r="L45" s="41" t="n">
        <f aca="false">IF($A45="","",$F45*$J45)</f>
        <v>42000</v>
      </c>
      <c r="M45" s="41" t="n">
        <f aca="false">IF($A45="","",$K45-$L45)</f>
        <v>15600</v>
      </c>
    </row>
    <row r="46" customFormat="false" ht="15" hidden="false" customHeight="false" outlineLevel="0" collapsed="false">
      <c r="A46" s="37" t="s">
        <v>143</v>
      </c>
      <c r="B46" s="38" t="n">
        <v>45711</v>
      </c>
      <c r="C46" s="37" t="s">
        <v>105</v>
      </c>
      <c r="D46" s="37" t="s">
        <v>116</v>
      </c>
      <c r="E46" s="37" t="s">
        <v>134</v>
      </c>
      <c r="F46" s="39" t="n">
        <v>6</v>
      </c>
      <c r="G46" s="40" t="n">
        <v>0</v>
      </c>
      <c r="H46" s="8" t="str">
        <f aca="false">IF($A46="","",IFERROR(INDEX(Products!$B$2:$B$50,MATCH($E46,Products!$A$2:$A$50,0)),"Unmapped"))</f>
        <v>Furniture</v>
      </c>
      <c r="I46" s="41" t="n">
        <f aca="false">IF($A46="","",IFERROR(INDEX(Products!$C$2:$C$50,MATCH($E46,Products!$A$2:$A$50,0)),0))</f>
        <v>6100</v>
      </c>
      <c r="J46" s="41" t="n">
        <f aca="false">IF($A46="","",IFERROR(INDEX(Products!$D$2:$D$50,MATCH($E46,Products!$A$2:$A$50,0)),0))</f>
        <v>4500</v>
      </c>
      <c r="K46" s="41" t="n">
        <f aca="false">IF($A46="","",$F46*$I46*(1-$G46))</f>
        <v>36600</v>
      </c>
      <c r="L46" s="41" t="n">
        <f aca="false">IF($A46="","",$F46*$J46)</f>
        <v>27000</v>
      </c>
      <c r="M46" s="41" t="n">
        <f aca="false">IF($A46="","",$K46-$L46)</f>
        <v>9600</v>
      </c>
    </row>
    <row r="47" customFormat="false" ht="15" hidden="false" customHeight="false" outlineLevel="0" collapsed="false">
      <c r="A47" s="37" t="s">
        <v>144</v>
      </c>
      <c r="B47" s="38" t="n">
        <v>45712</v>
      </c>
      <c r="C47" s="37" t="s">
        <v>82</v>
      </c>
      <c r="D47" s="37" t="s">
        <v>83</v>
      </c>
      <c r="E47" s="37" t="s">
        <v>134</v>
      </c>
      <c r="F47" s="39" t="n">
        <v>10</v>
      </c>
      <c r="G47" s="40" t="n">
        <v>0.15</v>
      </c>
      <c r="H47" s="8" t="str">
        <f aca="false">IF($A47="","",IFERROR(INDEX(Products!$B$2:$B$50,MATCH($E47,Products!$A$2:$A$50,0)),"Unmapped"))</f>
        <v>Furniture</v>
      </c>
      <c r="I47" s="41" t="n">
        <f aca="false">IF($A47="","",IFERROR(INDEX(Products!$C$2:$C$50,MATCH($E47,Products!$A$2:$A$50,0)),0))</f>
        <v>6100</v>
      </c>
      <c r="J47" s="41" t="n">
        <f aca="false">IF($A47="","",IFERROR(INDEX(Products!$D$2:$D$50,MATCH($E47,Products!$A$2:$A$50,0)),0))</f>
        <v>4500</v>
      </c>
      <c r="K47" s="41" t="n">
        <f aca="false">IF($A47="","",$F47*$I47*(1-$G47))</f>
        <v>51850</v>
      </c>
      <c r="L47" s="41" t="n">
        <f aca="false">IF($A47="","",$F47*$J47)</f>
        <v>45000</v>
      </c>
      <c r="M47" s="41" t="n">
        <f aca="false">IF($A47="","",$K47-$L47)</f>
        <v>6850</v>
      </c>
    </row>
    <row r="48" customFormat="false" ht="15" hidden="false" customHeight="false" outlineLevel="0" collapsed="false">
      <c r="A48" s="37" t="s">
        <v>145</v>
      </c>
      <c r="B48" s="38" t="n">
        <v>45712</v>
      </c>
      <c r="C48" s="37" t="s">
        <v>88</v>
      </c>
      <c r="D48" s="37" t="s">
        <v>111</v>
      </c>
      <c r="E48" s="37" t="s">
        <v>94</v>
      </c>
      <c r="F48" s="39" t="n">
        <v>155</v>
      </c>
      <c r="G48" s="40" t="n">
        <v>0</v>
      </c>
      <c r="H48" s="8" t="str">
        <f aca="false">IF($A48="","",IFERROR(INDEX(Products!$B$2:$B$50,MATCH($E48,Products!$A$2:$A$50,0)),"Unmapped"))</f>
        <v>Stationery</v>
      </c>
      <c r="I48" s="41" t="n">
        <f aca="false">IF($A48="","",IFERROR(INDEX(Products!$C$2:$C$50,MATCH($E48,Products!$A$2:$A$50,0)),0))</f>
        <v>280</v>
      </c>
      <c r="J48" s="41" t="n">
        <f aca="false">IF($A48="","",IFERROR(INDEX(Products!$D$2:$D$50,MATCH($E48,Products!$A$2:$A$50,0)),0))</f>
        <v>210</v>
      </c>
      <c r="K48" s="41" t="n">
        <f aca="false">IF($A48="","",$F48*$I48*(1-$G48))</f>
        <v>43400</v>
      </c>
      <c r="L48" s="41" t="n">
        <f aca="false">IF($A48="","",$F48*$J48)</f>
        <v>32550</v>
      </c>
      <c r="M48" s="41" t="n">
        <f aca="false">IF($A48="","",$K48-$L48)</f>
        <v>10850</v>
      </c>
    </row>
    <row r="49" customFormat="false" ht="15" hidden="false" customHeight="false" outlineLevel="0" collapsed="false">
      <c r="A49" s="37" t="s">
        <v>146</v>
      </c>
      <c r="B49" s="38" t="n">
        <v>45713</v>
      </c>
      <c r="C49" s="37" t="s">
        <v>88</v>
      </c>
      <c r="D49" s="37" t="s">
        <v>89</v>
      </c>
      <c r="E49" s="37" t="s">
        <v>103</v>
      </c>
      <c r="F49" s="39" t="n">
        <v>26</v>
      </c>
      <c r="G49" s="40" t="n">
        <v>0.05</v>
      </c>
      <c r="H49" s="8" t="str">
        <f aca="false">IF($A49="","",IFERROR(INDEX(Products!$B$2:$B$50,MATCH($E49,Products!$A$2:$A$50,0)),"Unmapped"))</f>
        <v>Electronics</v>
      </c>
      <c r="I49" s="41" t="n">
        <f aca="false">IF($A49="","",IFERROR(INDEX(Products!$C$2:$C$50,MATCH($E49,Products!$A$2:$A$50,0)),0))</f>
        <v>900</v>
      </c>
      <c r="J49" s="41" t="n">
        <f aca="false">IF($A49="","",IFERROR(INDEX(Products!$D$2:$D$50,MATCH($E49,Products!$A$2:$A$50,0)),0))</f>
        <v>620</v>
      </c>
      <c r="K49" s="41" t="n">
        <f aca="false">IF($A49="","",$F49*$I49*(1-$G49))</f>
        <v>22230</v>
      </c>
      <c r="L49" s="41" t="n">
        <f aca="false">IF($A49="","",$F49*$J49)</f>
        <v>16120</v>
      </c>
      <c r="M49" s="41" t="n">
        <f aca="false">IF($A49="","",$K49-$L49)</f>
        <v>6110</v>
      </c>
    </row>
    <row r="50" customFormat="false" ht="15" hidden="false" customHeight="false" outlineLevel="0" collapsed="false">
      <c r="A50" s="37" t="s">
        <v>147</v>
      </c>
      <c r="B50" s="38" t="n">
        <v>45714</v>
      </c>
      <c r="C50" s="37" t="s">
        <v>88</v>
      </c>
      <c r="D50" s="37" t="s">
        <v>111</v>
      </c>
      <c r="E50" s="37" t="s">
        <v>90</v>
      </c>
      <c r="F50" s="39" t="n">
        <v>103</v>
      </c>
      <c r="G50" s="40" t="n">
        <v>0</v>
      </c>
      <c r="H50" s="8" t="str">
        <f aca="false">IF($A50="","",IFERROR(INDEX(Products!$B$2:$B$50,MATCH($E50,Products!$A$2:$A$50,0)),"Unmapped"))</f>
        <v>Stationery</v>
      </c>
      <c r="I50" s="41" t="n">
        <f aca="false">IF($A50="","",IFERROR(INDEX(Products!$C$2:$C$50,MATCH($E50,Products!$A$2:$A$50,0)),0))</f>
        <v>120</v>
      </c>
      <c r="J50" s="41" t="n">
        <f aca="false">IF($A50="","",IFERROR(INDEX(Products!$D$2:$D$50,MATCH($E50,Products!$A$2:$A$50,0)),0))</f>
        <v>80</v>
      </c>
      <c r="K50" s="41" t="n">
        <f aca="false">IF($A50="","",$F50*$I50*(1-$G50))</f>
        <v>12360</v>
      </c>
      <c r="L50" s="41" t="n">
        <f aca="false">IF($A50="","",$F50*$J50)</f>
        <v>8240</v>
      </c>
      <c r="M50" s="41" t="n">
        <f aca="false">IF($A50="","",$K50-$L50)</f>
        <v>4120</v>
      </c>
    </row>
    <row r="51" customFormat="false" ht="15" hidden="false" customHeight="false" outlineLevel="0" collapsed="false">
      <c r="A51" s="37" t="s">
        <v>148</v>
      </c>
      <c r="B51" s="38" t="n">
        <v>45715</v>
      </c>
      <c r="C51" s="37" t="s">
        <v>105</v>
      </c>
      <c r="D51" s="37" t="s">
        <v>106</v>
      </c>
      <c r="E51" s="37" t="s">
        <v>84</v>
      </c>
      <c r="F51" s="39" t="n">
        <v>107</v>
      </c>
      <c r="G51" s="40" t="n">
        <v>0.05</v>
      </c>
      <c r="H51" s="8" t="str">
        <f aca="false">IF($A51="","",IFERROR(INDEX(Products!$B$2:$B$50,MATCH($E51,Products!$A$2:$A$50,0)),"Unmapped"))</f>
        <v>Stationery</v>
      </c>
      <c r="I51" s="41" t="n">
        <f aca="false">IF($A51="","",IFERROR(INDEX(Products!$C$2:$C$50,MATCH($E51,Products!$A$2:$A$50,0)),0))</f>
        <v>350</v>
      </c>
      <c r="J51" s="41" t="n">
        <f aca="false">IF($A51="","",IFERROR(INDEX(Products!$D$2:$D$50,MATCH($E51,Products!$A$2:$A$50,0)),0))</f>
        <v>240</v>
      </c>
      <c r="K51" s="41" t="n">
        <f aca="false">IF($A51="","",$F51*$I51*(1-$G51))</f>
        <v>35577.5</v>
      </c>
      <c r="L51" s="41" t="n">
        <f aca="false">IF($A51="","",$F51*$J51)</f>
        <v>25680</v>
      </c>
      <c r="M51" s="41" t="n">
        <f aca="false">IF($A51="","",$K51-$L51)</f>
        <v>9897.5</v>
      </c>
    </row>
    <row r="52" customFormat="false" ht="15" hidden="false" customHeight="false" outlineLevel="0" collapsed="false">
      <c r="A52" s="37" t="s">
        <v>149</v>
      </c>
      <c r="B52" s="38" t="n">
        <v>45716</v>
      </c>
      <c r="C52" s="37" t="s">
        <v>82</v>
      </c>
      <c r="D52" s="37" t="s">
        <v>93</v>
      </c>
      <c r="E52" s="37" t="s">
        <v>94</v>
      </c>
      <c r="F52" s="39" t="n">
        <v>56</v>
      </c>
      <c r="G52" s="40" t="n">
        <v>0.05</v>
      </c>
      <c r="H52" s="8" t="str">
        <f aca="false">IF($A52="","",IFERROR(INDEX(Products!$B$2:$B$50,MATCH($E52,Products!$A$2:$A$50,0)),"Unmapped"))</f>
        <v>Stationery</v>
      </c>
      <c r="I52" s="41" t="n">
        <f aca="false">IF($A52="","",IFERROR(INDEX(Products!$C$2:$C$50,MATCH($E52,Products!$A$2:$A$50,0)),0))</f>
        <v>280</v>
      </c>
      <c r="J52" s="41" t="n">
        <f aca="false">IF($A52="","",IFERROR(INDEX(Products!$D$2:$D$50,MATCH($E52,Products!$A$2:$A$50,0)),0))</f>
        <v>210</v>
      </c>
      <c r="K52" s="41" t="n">
        <f aca="false">IF($A52="","",$F52*$I52*(1-$G52))</f>
        <v>14896</v>
      </c>
      <c r="L52" s="41" t="n">
        <f aca="false">IF($A52="","",$F52*$J52)</f>
        <v>11760</v>
      </c>
      <c r="M52" s="41" t="n">
        <f aca="false">IF($A52="","",$K52-$L52)</f>
        <v>3136</v>
      </c>
    </row>
    <row r="53" customFormat="false" ht="15" hidden="false" customHeight="false" outlineLevel="0" collapsed="false">
      <c r="A53" s="37" t="s">
        <v>150</v>
      </c>
      <c r="B53" s="38" t="n">
        <v>45716</v>
      </c>
      <c r="C53" s="37" t="s">
        <v>78</v>
      </c>
      <c r="D53" s="37" t="s">
        <v>79</v>
      </c>
      <c r="E53" s="37" t="s">
        <v>90</v>
      </c>
      <c r="F53" s="39" t="n">
        <v>63</v>
      </c>
      <c r="G53" s="40" t="n">
        <v>0</v>
      </c>
      <c r="H53" s="8" t="str">
        <f aca="false">IF($A53="","",IFERROR(INDEX(Products!$B$2:$B$50,MATCH($E53,Products!$A$2:$A$50,0)),"Unmapped"))</f>
        <v>Stationery</v>
      </c>
      <c r="I53" s="41" t="n">
        <f aca="false">IF($A53="","",IFERROR(INDEX(Products!$C$2:$C$50,MATCH($E53,Products!$A$2:$A$50,0)),0))</f>
        <v>120</v>
      </c>
      <c r="J53" s="41" t="n">
        <f aca="false">IF($A53="","",IFERROR(INDEX(Products!$D$2:$D$50,MATCH($E53,Products!$A$2:$A$50,0)),0))</f>
        <v>80</v>
      </c>
      <c r="K53" s="41" t="n">
        <f aca="false">IF($A53="","",$F53*$I53*(1-$G53))</f>
        <v>7560</v>
      </c>
      <c r="L53" s="41" t="n">
        <f aca="false">IF($A53="","",$F53*$J53)</f>
        <v>5040</v>
      </c>
      <c r="M53" s="41" t="n">
        <f aca="false">IF($A53="","",$K53-$L53)</f>
        <v>2520</v>
      </c>
    </row>
    <row r="54" customFormat="false" ht="15" hidden="false" customHeight="false" outlineLevel="0" collapsed="false">
      <c r="A54" s="37" t="s">
        <v>151</v>
      </c>
      <c r="B54" s="38" t="n">
        <v>45716</v>
      </c>
      <c r="C54" s="37" t="s">
        <v>82</v>
      </c>
      <c r="D54" s="37" t="s">
        <v>93</v>
      </c>
      <c r="E54" s="37" t="s">
        <v>134</v>
      </c>
      <c r="F54" s="39" t="n">
        <v>14</v>
      </c>
      <c r="G54" s="40" t="n">
        <v>0.15</v>
      </c>
      <c r="H54" s="8" t="str">
        <f aca="false">IF($A54="","",IFERROR(INDEX(Products!$B$2:$B$50,MATCH($E54,Products!$A$2:$A$50,0)),"Unmapped"))</f>
        <v>Furniture</v>
      </c>
      <c r="I54" s="41" t="n">
        <f aca="false">IF($A54="","",IFERROR(INDEX(Products!$C$2:$C$50,MATCH($E54,Products!$A$2:$A$50,0)),0))</f>
        <v>6100</v>
      </c>
      <c r="J54" s="41" t="n">
        <f aca="false">IF($A54="","",IFERROR(INDEX(Products!$D$2:$D$50,MATCH($E54,Products!$A$2:$A$50,0)),0))</f>
        <v>4500</v>
      </c>
      <c r="K54" s="41" t="n">
        <f aca="false">IF($A54="","",$F54*$I54*(1-$G54))</f>
        <v>72590</v>
      </c>
      <c r="L54" s="41" t="n">
        <f aca="false">IF($A54="","",$F54*$J54)</f>
        <v>63000</v>
      </c>
      <c r="M54" s="41" t="n">
        <f aca="false">IF($A54="","",$K54-$L54)</f>
        <v>9590</v>
      </c>
    </row>
    <row r="55" customFormat="false" ht="15" hidden="false" customHeight="false" outlineLevel="0" collapsed="false">
      <c r="A55" s="37" t="s">
        <v>152</v>
      </c>
      <c r="B55" s="38" t="n">
        <v>45716</v>
      </c>
      <c r="C55" s="37" t="s">
        <v>105</v>
      </c>
      <c r="D55" s="37" t="s">
        <v>106</v>
      </c>
      <c r="E55" s="37" t="s">
        <v>90</v>
      </c>
      <c r="F55" s="39" t="n">
        <v>170</v>
      </c>
      <c r="G55" s="40" t="n">
        <v>0.05</v>
      </c>
      <c r="H55" s="8" t="str">
        <f aca="false">IF($A55="","",IFERROR(INDEX(Products!$B$2:$B$50,MATCH($E55,Products!$A$2:$A$50,0)),"Unmapped"))</f>
        <v>Stationery</v>
      </c>
      <c r="I55" s="41" t="n">
        <f aca="false">IF($A55="","",IFERROR(INDEX(Products!$C$2:$C$50,MATCH($E55,Products!$A$2:$A$50,0)),0))</f>
        <v>120</v>
      </c>
      <c r="J55" s="41" t="n">
        <f aca="false">IF($A55="","",IFERROR(INDEX(Products!$D$2:$D$50,MATCH($E55,Products!$A$2:$A$50,0)),0))</f>
        <v>80</v>
      </c>
      <c r="K55" s="41" t="n">
        <f aca="false">IF($A55="","",$F55*$I55*(1-$G55))</f>
        <v>19380</v>
      </c>
      <c r="L55" s="41" t="n">
        <f aca="false">IF($A55="","",$F55*$J55)</f>
        <v>13600</v>
      </c>
      <c r="M55" s="41" t="n">
        <f aca="false">IF($A55="","",$K55-$L55)</f>
        <v>5780</v>
      </c>
    </row>
    <row r="56" customFormat="false" ht="15" hidden="false" customHeight="false" outlineLevel="0" collapsed="false">
      <c r="A56" s="37" t="s">
        <v>153</v>
      </c>
      <c r="B56" s="38" t="n">
        <v>45718</v>
      </c>
      <c r="C56" s="37" t="s">
        <v>78</v>
      </c>
      <c r="D56" s="37" t="s">
        <v>79</v>
      </c>
      <c r="E56" s="37" t="s">
        <v>107</v>
      </c>
      <c r="F56" s="39" t="n">
        <v>14</v>
      </c>
      <c r="G56" s="40" t="n">
        <v>0.05</v>
      </c>
      <c r="H56" s="8" t="str">
        <f aca="false">IF($A56="","",IFERROR(INDEX(Products!$B$2:$B$50,MATCH($E56,Products!$A$2:$A$50,0)),"Unmapped"))</f>
        <v>Furniture</v>
      </c>
      <c r="I56" s="41" t="n">
        <f aca="false">IF($A56="","",IFERROR(INDEX(Products!$C$2:$C$50,MATCH($E56,Products!$A$2:$A$50,0)),0))</f>
        <v>7200</v>
      </c>
      <c r="J56" s="41" t="n">
        <f aca="false">IF($A56="","",IFERROR(INDEX(Products!$D$2:$D$50,MATCH($E56,Products!$A$2:$A$50,0)),0))</f>
        <v>5400</v>
      </c>
      <c r="K56" s="41" t="n">
        <f aca="false">IF($A56="","",$F56*$I56*(1-$G56))</f>
        <v>95760</v>
      </c>
      <c r="L56" s="41" t="n">
        <f aca="false">IF($A56="","",$F56*$J56)</f>
        <v>75600</v>
      </c>
      <c r="M56" s="41" t="n">
        <f aca="false">IF($A56="","",$K56-$L56)</f>
        <v>20160</v>
      </c>
    </row>
    <row r="57" customFormat="false" ht="15" hidden="false" customHeight="false" outlineLevel="0" collapsed="false">
      <c r="A57" s="37" t="s">
        <v>154</v>
      </c>
      <c r="B57" s="38" t="n">
        <v>45719</v>
      </c>
      <c r="C57" s="37" t="s">
        <v>78</v>
      </c>
      <c r="D57" s="37" t="s">
        <v>86</v>
      </c>
      <c r="E57" s="37" t="s">
        <v>103</v>
      </c>
      <c r="F57" s="39" t="n">
        <v>5</v>
      </c>
      <c r="G57" s="40" t="n">
        <v>0</v>
      </c>
      <c r="H57" s="8" t="str">
        <f aca="false">IF($A57="","",IFERROR(INDEX(Products!$B$2:$B$50,MATCH($E57,Products!$A$2:$A$50,0)),"Unmapped"))</f>
        <v>Electronics</v>
      </c>
      <c r="I57" s="41" t="n">
        <f aca="false">IF($A57="","",IFERROR(INDEX(Products!$C$2:$C$50,MATCH($E57,Products!$A$2:$A$50,0)),0))</f>
        <v>900</v>
      </c>
      <c r="J57" s="41" t="n">
        <f aca="false">IF($A57="","",IFERROR(INDEX(Products!$D$2:$D$50,MATCH($E57,Products!$A$2:$A$50,0)),0))</f>
        <v>620</v>
      </c>
      <c r="K57" s="41" t="n">
        <f aca="false">IF($A57="","",$F57*$I57*(1-$G57))</f>
        <v>4500</v>
      </c>
      <c r="L57" s="41" t="n">
        <f aca="false">IF($A57="","",$F57*$J57)</f>
        <v>3100</v>
      </c>
      <c r="M57" s="41" t="n">
        <f aca="false">IF($A57="","",$K57-$L57)</f>
        <v>1400</v>
      </c>
    </row>
    <row r="58" customFormat="false" ht="15" hidden="false" customHeight="false" outlineLevel="0" collapsed="false">
      <c r="A58" s="37" t="s">
        <v>155</v>
      </c>
      <c r="B58" s="38" t="n">
        <v>45720</v>
      </c>
      <c r="C58" s="37" t="s">
        <v>82</v>
      </c>
      <c r="D58" s="37" t="s">
        <v>93</v>
      </c>
      <c r="E58" s="37" t="s">
        <v>84</v>
      </c>
      <c r="F58" s="39" t="n">
        <v>129</v>
      </c>
      <c r="G58" s="40" t="n">
        <v>0</v>
      </c>
      <c r="H58" s="8" t="str">
        <f aca="false">IF($A58="","",IFERROR(INDEX(Products!$B$2:$B$50,MATCH($E58,Products!$A$2:$A$50,0)),"Unmapped"))</f>
        <v>Stationery</v>
      </c>
      <c r="I58" s="41" t="n">
        <f aca="false">IF($A58="","",IFERROR(INDEX(Products!$C$2:$C$50,MATCH($E58,Products!$A$2:$A$50,0)),0))</f>
        <v>350</v>
      </c>
      <c r="J58" s="41" t="n">
        <f aca="false">IF($A58="","",IFERROR(INDEX(Products!$D$2:$D$50,MATCH($E58,Products!$A$2:$A$50,0)),0))</f>
        <v>240</v>
      </c>
      <c r="K58" s="41" t="n">
        <f aca="false">IF($A58="","",$F58*$I58*(1-$G58))</f>
        <v>45150</v>
      </c>
      <c r="L58" s="41" t="n">
        <f aca="false">IF($A58="","",$F58*$J58)</f>
        <v>30960</v>
      </c>
      <c r="M58" s="41" t="n">
        <f aca="false">IF($A58="","",$K58-$L58)</f>
        <v>14190</v>
      </c>
    </row>
    <row r="59" customFormat="false" ht="15" hidden="false" customHeight="false" outlineLevel="0" collapsed="false">
      <c r="A59" s="37" t="s">
        <v>156</v>
      </c>
      <c r="B59" s="38" t="n">
        <v>45722</v>
      </c>
      <c r="C59" s="37" t="s">
        <v>78</v>
      </c>
      <c r="D59" s="37" t="s">
        <v>86</v>
      </c>
      <c r="E59" s="37" t="s">
        <v>157</v>
      </c>
      <c r="F59" s="39" t="n">
        <v>4</v>
      </c>
      <c r="G59" s="40" t="n">
        <v>0.05</v>
      </c>
      <c r="H59" s="8" t="str">
        <f aca="false">IF($A59="","",IFERROR(INDEX(Products!$B$2:$B$50,MATCH($E59,Products!$A$2:$A$50,0)),"Unmapped"))</f>
        <v>Electronics</v>
      </c>
      <c r="I59" s="41" t="n">
        <f aca="false">IF($A59="","",IFERROR(INDEX(Products!$C$2:$C$50,MATCH($E59,Products!$A$2:$A$50,0)),0))</f>
        <v>8900</v>
      </c>
      <c r="J59" s="41" t="n">
        <f aca="false">IF($A59="","",IFERROR(INDEX(Products!$D$2:$D$50,MATCH($E59,Products!$A$2:$A$50,0)),0))</f>
        <v>7000</v>
      </c>
      <c r="K59" s="41" t="n">
        <f aca="false">IF($A59="","",$F59*$I59*(1-$G59))</f>
        <v>33820</v>
      </c>
      <c r="L59" s="41" t="n">
        <f aca="false">IF($A59="","",$F59*$J59)</f>
        <v>28000</v>
      </c>
      <c r="M59" s="41" t="n">
        <f aca="false">IF($A59="","",$K59-$L59)</f>
        <v>5820</v>
      </c>
    </row>
    <row r="60" customFormat="false" ht="15" hidden="false" customHeight="false" outlineLevel="0" collapsed="false">
      <c r="A60" s="37" t="s">
        <v>158</v>
      </c>
      <c r="B60" s="38" t="n">
        <v>45722</v>
      </c>
      <c r="C60" s="37" t="s">
        <v>88</v>
      </c>
      <c r="D60" s="37" t="s">
        <v>89</v>
      </c>
      <c r="E60" s="37" t="s">
        <v>103</v>
      </c>
      <c r="F60" s="39" t="n">
        <v>17</v>
      </c>
      <c r="G60" s="40" t="n">
        <v>0.05</v>
      </c>
      <c r="H60" s="8" t="str">
        <f aca="false">IF($A60="","",IFERROR(INDEX(Products!$B$2:$B$50,MATCH($E60,Products!$A$2:$A$50,0)),"Unmapped"))</f>
        <v>Electronics</v>
      </c>
      <c r="I60" s="41" t="n">
        <f aca="false">IF($A60="","",IFERROR(INDEX(Products!$C$2:$C$50,MATCH($E60,Products!$A$2:$A$50,0)),0))</f>
        <v>900</v>
      </c>
      <c r="J60" s="41" t="n">
        <f aca="false">IF($A60="","",IFERROR(INDEX(Products!$D$2:$D$50,MATCH($E60,Products!$A$2:$A$50,0)),0))</f>
        <v>620</v>
      </c>
      <c r="K60" s="41" t="n">
        <f aca="false">IF($A60="","",$F60*$I60*(1-$G60))</f>
        <v>14535</v>
      </c>
      <c r="L60" s="41" t="n">
        <f aca="false">IF($A60="","",$F60*$J60)</f>
        <v>10540</v>
      </c>
      <c r="M60" s="41" t="n">
        <f aca="false">IF($A60="","",$K60-$L60)</f>
        <v>3995</v>
      </c>
    </row>
    <row r="61" customFormat="false" ht="15" hidden="false" customHeight="false" outlineLevel="0" collapsed="false">
      <c r="A61" s="37" t="s">
        <v>159</v>
      </c>
      <c r="B61" s="38" t="n">
        <v>45724</v>
      </c>
      <c r="C61" s="37" t="s">
        <v>88</v>
      </c>
      <c r="D61" s="37" t="s">
        <v>89</v>
      </c>
      <c r="E61" s="37" t="s">
        <v>107</v>
      </c>
      <c r="F61" s="39" t="n">
        <v>10</v>
      </c>
      <c r="G61" s="40" t="n">
        <v>0</v>
      </c>
      <c r="H61" s="8" t="str">
        <f aca="false">IF($A61="","",IFERROR(INDEX(Products!$B$2:$B$50,MATCH($E61,Products!$A$2:$A$50,0)),"Unmapped"))</f>
        <v>Furniture</v>
      </c>
      <c r="I61" s="41" t="n">
        <f aca="false">IF($A61="","",IFERROR(INDEX(Products!$C$2:$C$50,MATCH($E61,Products!$A$2:$A$50,0)),0))</f>
        <v>7200</v>
      </c>
      <c r="J61" s="41" t="n">
        <f aca="false">IF($A61="","",IFERROR(INDEX(Products!$D$2:$D$50,MATCH($E61,Products!$A$2:$A$50,0)),0))</f>
        <v>5400</v>
      </c>
      <c r="K61" s="41" t="n">
        <f aca="false">IF($A61="","",$F61*$I61*(1-$G61))</f>
        <v>72000</v>
      </c>
      <c r="L61" s="41" t="n">
        <f aca="false">IF($A61="","",$F61*$J61)</f>
        <v>54000</v>
      </c>
      <c r="M61" s="41" t="n">
        <f aca="false">IF($A61="","",$K61-$L61)</f>
        <v>18000</v>
      </c>
    </row>
    <row r="62" customFormat="false" ht="15" hidden="false" customHeight="false" outlineLevel="0" collapsed="false">
      <c r="A62" s="37" t="s">
        <v>160</v>
      </c>
      <c r="B62" s="38" t="n">
        <v>45724</v>
      </c>
      <c r="C62" s="37" t="s">
        <v>105</v>
      </c>
      <c r="D62" s="37" t="s">
        <v>106</v>
      </c>
      <c r="E62" s="37" t="s">
        <v>80</v>
      </c>
      <c r="F62" s="39" t="n">
        <v>34</v>
      </c>
      <c r="G62" s="40" t="n">
        <v>0.05</v>
      </c>
      <c r="H62" s="8" t="str">
        <f aca="false">IF($A62="","",IFERROR(INDEX(Products!$B$2:$B$50,MATCH($E62,Products!$A$2:$A$50,0)),"Unmapped"))</f>
        <v>Pantry</v>
      </c>
      <c r="I62" s="41" t="n">
        <f aca="false">IF($A62="","",IFERROR(INDEX(Products!$C$2:$C$50,MATCH($E62,Products!$A$2:$A$50,0)),0))</f>
        <v>5600</v>
      </c>
      <c r="J62" s="41" t="n">
        <f aca="false">IF($A62="","",IFERROR(INDEX(Products!$D$2:$D$50,MATCH($E62,Products!$A$2:$A$50,0)),0))</f>
        <v>4200</v>
      </c>
      <c r="K62" s="41" t="n">
        <f aca="false">IF($A62="","",$F62*$I62*(1-$G62))</f>
        <v>180880</v>
      </c>
      <c r="L62" s="41" t="n">
        <f aca="false">IF($A62="","",$F62*$J62)</f>
        <v>142800</v>
      </c>
      <c r="M62" s="41" t="n">
        <f aca="false">IF($A62="","",$K62-$L62)</f>
        <v>38080</v>
      </c>
    </row>
    <row r="63" customFormat="false" ht="15" hidden="false" customHeight="false" outlineLevel="0" collapsed="false">
      <c r="A63" s="37" t="s">
        <v>161</v>
      </c>
      <c r="B63" s="38" t="n">
        <v>45725</v>
      </c>
      <c r="C63" s="37" t="s">
        <v>78</v>
      </c>
      <c r="D63" s="37" t="s">
        <v>79</v>
      </c>
      <c r="E63" s="37" t="s">
        <v>94</v>
      </c>
      <c r="F63" s="39" t="n">
        <v>62</v>
      </c>
      <c r="G63" s="40" t="n">
        <v>0.05</v>
      </c>
      <c r="H63" s="8" t="str">
        <f aca="false">IF($A63="","",IFERROR(INDEX(Products!$B$2:$B$50,MATCH($E63,Products!$A$2:$A$50,0)),"Unmapped"))</f>
        <v>Stationery</v>
      </c>
      <c r="I63" s="41" t="n">
        <f aca="false">IF($A63="","",IFERROR(INDEX(Products!$C$2:$C$50,MATCH($E63,Products!$A$2:$A$50,0)),0))</f>
        <v>280</v>
      </c>
      <c r="J63" s="41" t="n">
        <f aca="false">IF($A63="","",IFERROR(INDEX(Products!$D$2:$D$50,MATCH($E63,Products!$A$2:$A$50,0)),0))</f>
        <v>210</v>
      </c>
      <c r="K63" s="41" t="n">
        <f aca="false">IF($A63="","",$F63*$I63*(1-$G63))</f>
        <v>16492</v>
      </c>
      <c r="L63" s="41" t="n">
        <f aca="false">IF($A63="","",$F63*$J63)</f>
        <v>13020</v>
      </c>
      <c r="M63" s="41" t="n">
        <f aca="false">IF($A63="","",$K63-$L63)</f>
        <v>3472</v>
      </c>
    </row>
    <row r="64" customFormat="false" ht="15" hidden="false" customHeight="false" outlineLevel="0" collapsed="false">
      <c r="A64" s="37" t="s">
        <v>162</v>
      </c>
      <c r="B64" s="38" t="n">
        <v>45725</v>
      </c>
      <c r="C64" s="37" t="s">
        <v>88</v>
      </c>
      <c r="D64" s="37" t="s">
        <v>111</v>
      </c>
      <c r="E64" s="37" t="s">
        <v>134</v>
      </c>
      <c r="F64" s="39" t="n">
        <v>10</v>
      </c>
      <c r="G64" s="40" t="n">
        <v>0.1</v>
      </c>
      <c r="H64" s="8" t="str">
        <f aca="false">IF($A64="","",IFERROR(INDEX(Products!$B$2:$B$50,MATCH($E64,Products!$A$2:$A$50,0)),"Unmapped"))</f>
        <v>Furniture</v>
      </c>
      <c r="I64" s="41" t="n">
        <f aca="false">IF($A64="","",IFERROR(INDEX(Products!$C$2:$C$50,MATCH($E64,Products!$A$2:$A$50,0)),0))</f>
        <v>6100</v>
      </c>
      <c r="J64" s="41" t="n">
        <f aca="false">IF($A64="","",IFERROR(INDEX(Products!$D$2:$D$50,MATCH($E64,Products!$A$2:$A$50,0)),0))</f>
        <v>4500</v>
      </c>
      <c r="K64" s="41" t="n">
        <f aca="false">IF($A64="","",$F64*$I64*(1-$G64))</f>
        <v>54900</v>
      </c>
      <c r="L64" s="41" t="n">
        <f aca="false">IF($A64="","",$F64*$J64)</f>
        <v>45000</v>
      </c>
      <c r="M64" s="41" t="n">
        <f aca="false">IF($A64="","",$K64-$L64)</f>
        <v>9900</v>
      </c>
    </row>
    <row r="65" customFormat="false" ht="15" hidden="false" customHeight="false" outlineLevel="0" collapsed="false">
      <c r="A65" s="37" t="s">
        <v>163</v>
      </c>
      <c r="B65" s="38" t="n">
        <v>45726</v>
      </c>
      <c r="C65" s="37" t="s">
        <v>105</v>
      </c>
      <c r="D65" s="37" t="s">
        <v>116</v>
      </c>
      <c r="E65" s="37" t="s">
        <v>121</v>
      </c>
      <c r="F65" s="39" t="n">
        <v>6</v>
      </c>
      <c r="G65" s="40" t="n">
        <v>0.1</v>
      </c>
      <c r="H65" s="8" t="str">
        <f aca="false">IF($A65="","",IFERROR(INDEX(Products!$B$2:$B$50,MATCH($E65,Products!$A$2:$A$50,0)),"Unmapped"))</f>
        <v>Electronics</v>
      </c>
      <c r="I65" s="41" t="n">
        <f aca="false">IF($A65="","",IFERROR(INDEX(Products!$C$2:$C$50,MATCH($E65,Products!$A$2:$A$50,0)),0))</f>
        <v>650</v>
      </c>
      <c r="J65" s="41" t="n">
        <f aca="false">IF($A65="","",IFERROR(INDEX(Products!$D$2:$D$50,MATCH($E65,Products!$A$2:$A$50,0)),0))</f>
        <v>430</v>
      </c>
      <c r="K65" s="41" t="n">
        <f aca="false">IF($A65="","",$F65*$I65*(1-$G65))</f>
        <v>3510</v>
      </c>
      <c r="L65" s="41" t="n">
        <f aca="false">IF($A65="","",$F65*$J65)</f>
        <v>2580</v>
      </c>
      <c r="M65" s="41" t="n">
        <f aca="false">IF($A65="","",$K65-$L65)</f>
        <v>930</v>
      </c>
    </row>
    <row r="66" customFormat="false" ht="15" hidden="false" customHeight="false" outlineLevel="0" collapsed="false">
      <c r="A66" s="37" t="s">
        <v>164</v>
      </c>
      <c r="B66" s="38" t="n">
        <v>45727</v>
      </c>
      <c r="C66" s="37" t="s">
        <v>78</v>
      </c>
      <c r="D66" s="37" t="s">
        <v>86</v>
      </c>
      <c r="E66" s="37" t="s">
        <v>90</v>
      </c>
      <c r="F66" s="39" t="n">
        <v>145</v>
      </c>
      <c r="G66" s="40" t="n">
        <v>0.05</v>
      </c>
      <c r="H66" s="8" t="str">
        <f aca="false">IF($A66="","",IFERROR(INDEX(Products!$B$2:$B$50,MATCH($E66,Products!$A$2:$A$50,0)),"Unmapped"))</f>
        <v>Stationery</v>
      </c>
      <c r="I66" s="41" t="n">
        <f aca="false">IF($A66="","",IFERROR(INDEX(Products!$C$2:$C$50,MATCH($E66,Products!$A$2:$A$50,0)),0))</f>
        <v>120</v>
      </c>
      <c r="J66" s="41" t="n">
        <f aca="false">IF($A66="","",IFERROR(INDEX(Products!$D$2:$D$50,MATCH($E66,Products!$A$2:$A$50,0)),0))</f>
        <v>80</v>
      </c>
      <c r="K66" s="41" t="n">
        <f aca="false">IF($A66="","",$F66*$I66*(1-$G66))</f>
        <v>16530</v>
      </c>
      <c r="L66" s="41" t="n">
        <f aca="false">IF($A66="","",$F66*$J66)</f>
        <v>11600</v>
      </c>
      <c r="M66" s="41" t="n">
        <f aca="false">IF($A66="","",$K66-$L66)</f>
        <v>4930</v>
      </c>
    </row>
    <row r="67" customFormat="false" ht="15" hidden="false" customHeight="false" outlineLevel="0" collapsed="false">
      <c r="A67" s="37" t="s">
        <v>165</v>
      </c>
      <c r="B67" s="38" t="n">
        <v>45727</v>
      </c>
      <c r="C67" s="37" t="s">
        <v>82</v>
      </c>
      <c r="D67" s="37" t="s">
        <v>83</v>
      </c>
      <c r="E67" s="37" t="s">
        <v>84</v>
      </c>
      <c r="F67" s="39" t="n">
        <v>131</v>
      </c>
      <c r="G67" s="40" t="n">
        <v>0.1</v>
      </c>
      <c r="H67" s="8" t="str">
        <f aca="false">IF($A67="","",IFERROR(INDEX(Products!$B$2:$B$50,MATCH($E67,Products!$A$2:$A$50,0)),"Unmapped"))</f>
        <v>Stationery</v>
      </c>
      <c r="I67" s="41" t="n">
        <f aca="false">IF($A67="","",IFERROR(INDEX(Products!$C$2:$C$50,MATCH($E67,Products!$A$2:$A$50,0)),0))</f>
        <v>350</v>
      </c>
      <c r="J67" s="41" t="n">
        <f aca="false">IF($A67="","",IFERROR(INDEX(Products!$D$2:$D$50,MATCH($E67,Products!$A$2:$A$50,0)),0))</f>
        <v>240</v>
      </c>
      <c r="K67" s="41" t="n">
        <f aca="false">IF($A67="","",$F67*$I67*(1-$G67))</f>
        <v>41265</v>
      </c>
      <c r="L67" s="41" t="n">
        <f aca="false">IF($A67="","",$F67*$J67)</f>
        <v>31440</v>
      </c>
      <c r="M67" s="41" t="n">
        <f aca="false">IF($A67="","",$K67-$L67)</f>
        <v>9825</v>
      </c>
    </row>
    <row r="68" customFormat="false" ht="15" hidden="false" customHeight="false" outlineLevel="0" collapsed="false">
      <c r="A68" s="37" t="s">
        <v>166</v>
      </c>
      <c r="B68" s="38" t="n">
        <v>45728</v>
      </c>
      <c r="C68" s="37" t="s">
        <v>105</v>
      </c>
      <c r="D68" s="37" t="s">
        <v>106</v>
      </c>
      <c r="E68" s="37" t="s">
        <v>84</v>
      </c>
      <c r="F68" s="39" t="n">
        <v>60</v>
      </c>
      <c r="G68" s="40" t="n">
        <v>0.05</v>
      </c>
      <c r="H68" s="8" t="str">
        <f aca="false">IF($A68="","",IFERROR(INDEX(Products!$B$2:$B$50,MATCH($E68,Products!$A$2:$A$50,0)),"Unmapped"))</f>
        <v>Stationery</v>
      </c>
      <c r="I68" s="41" t="n">
        <f aca="false">IF($A68="","",IFERROR(INDEX(Products!$C$2:$C$50,MATCH($E68,Products!$A$2:$A$50,0)),0))</f>
        <v>350</v>
      </c>
      <c r="J68" s="41" t="n">
        <f aca="false">IF($A68="","",IFERROR(INDEX(Products!$D$2:$D$50,MATCH($E68,Products!$A$2:$A$50,0)),0))</f>
        <v>240</v>
      </c>
      <c r="K68" s="41" t="n">
        <f aca="false">IF($A68="","",$F68*$I68*(1-$G68))</f>
        <v>19950</v>
      </c>
      <c r="L68" s="41" t="n">
        <f aca="false">IF($A68="","",$F68*$J68)</f>
        <v>14400</v>
      </c>
      <c r="M68" s="41" t="n">
        <f aca="false">IF($A68="","",$K68-$L68)</f>
        <v>5550</v>
      </c>
    </row>
    <row r="69" customFormat="false" ht="15" hidden="false" customHeight="false" outlineLevel="0" collapsed="false">
      <c r="A69" s="37" t="s">
        <v>167</v>
      </c>
      <c r="B69" s="38" t="n">
        <v>45730</v>
      </c>
      <c r="C69" s="37" t="s">
        <v>88</v>
      </c>
      <c r="D69" s="37" t="s">
        <v>89</v>
      </c>
      <c r="E69" s="37" t="s">
        <v>121</v>
      </c>
      <c r="F69" s="39" t="n">
        <v>14</v>
      </c>
      <c r="G69" s="40" t="n">
        <v>0.1</v>
      </c>
      <c r="H69" s="8" t="str">
        <f aca="false">IF($A69="","",IFERROR(INDEX(Products!$B$2:$B$50,MATCH($E69,Products!$A$2:$A$50,0)),"Unmapped"))</f>
        <v>Electronics</v>
      </c>
      <c r="I69" s="41" t="n">
        <f aca="false">IF($A69="","",IFERROR(INDEX(Products!$C$2:$C$50,MATCH($E69,Products!$A$2:$A$50,0)),0))</f>
        <v>650</v>
      </c>
      <c r="J69" s="41" t="n">
        <f aca="false">IF($A69="","",IFERROR(INDEX(Products!$D$2:$D$50,MATCH($E69,Products!$A$2:$A$50,0)),0))</f>
        <v>430</v>
      </c>
      <c r="K69" s="41" t="n">
        <f aca="false">IF($A69="","",$F69*$I69*(1-$G69))</f>
        <v>8190</v>
      </c>
      <c r="L69" s="41" t="n">
        <f aca="false">IF($A69="","",$F69*$J69)</f>
        <v>6020</v>
      </c>
      <c r="M69" s="41" t="n">
        <f aca="false">IF($A69="","",$K69-$L69)</f>
        <v>2170</v>
      </c>
    </row>
    <row r="70" customFormat="false" ht="15" hidden="false" customHeight="false" outlineLevel="0" collapsed="false">
      <c r="A70" s="37" t="s">
        <v>168</v>
      </c>
      <c r="B70" s="38" t="n">
        <v>45732</v>
      </c>
      <c r="C70" s="37" t="s">
        <v>78</v>
      </c>
      <c r="D70" s="37" t="s">
        <v>86</v>
      </c>
      <c r="E70" s="37" t="s">
        <v>84</v>
      </c>
      <c r="F70" s="39" t="n">
        <v>162</v>
      </c>
      <c r="G70" s="40" t="n">
        <v>0</v>
      </c>
      <c r="H70" s="8" t="str">
        <f aca="false">IF($A70="","",IFERROR(INDEX(Products!$B$2:$B$50,MATCH($E70,Products!$A$2:$A$50,0)),"Unmapped"))</f>
        <v>Stationery</v>
      </c>
      <c r="I70" s="41" t="n">
        <f aca="false">IF($A70="","",IFERROR(INDEX(Products!$C$2:$C$50,MATCH($E70,Products!$A$2:$A$50,0)),0))</f>
        <v>350</v>
      </c>
      <c r="J70" s="41" t="n">
        <f aca="false">IF($A70="","",IFERROR(INDEX(Products!$D$2:$D$50,MATCH($E70,Products!$A$2:$A$50,0)),0))</f>
        <v>240</v>
      </c>
      <c r="K70" s="41" t="n">
        <f aca="false">IF($A70="","",$F70*$I70*(1-$G70))</f>
        <v>56700</v>
      </c>
      <c r="L70" s="41" t="n">
        <f aca="false">IF($A70="","",$F70*$J70)</f>
        <v>38880</v>
      </c>
      <c r="M70" s="41" t="n">
        <f aca="false">IF($A70="","",$K70-$L70)</f>
        <v>17820</v>
      </c>
    </row>
    <row r="71" customFormat="false" ht="15" hidden="false" customHeight="false" outlineLevel="0" collapsed="false">
      <c r="A71" s="37" t="s">
        <v>169</v>
      </c>
      <c r="B71" s="38" t="n">
        <v>45733</v>
      </c>
      <c r="C71" s="37" t="s">
        <v>105</v>
      </c>
      <c r="D71" s="37" t="s">
        <v>116</v>
      </c>
      <c r="E71" s="37" t="s">
        <v>114</v>
      </c>
      <c r="F71" s="39" t="n">
        <v>39</v>
      </c>
      <c r="G71" s="40" t="n">
        <v>0.1</v>
      </c>
      <c r="H71" s="8" t="str">
        <f aca="false">IF($A71="","",IFERROR(INDEX(Products!$B$2:$B$50,MATCH($E71,Products!$A$2:$A$50,0)),"Unmapped"))</f>
        <v>Pantry</v>
      </c>
      <c r="I71" s="41" t="n">
        <f aca="false">IF($A71="","",IFERROR(INDEX(Products!$C$2:$C$50,MATCH($E71,Products!$A$2:$A$50,0)),0))</f>
        <v>1500</v>
      </c>
      <c r="J71" s="41" t="n">
        <f aca="false">IF($A71="","",IFERROR(INDEX(Products!$D$2:$D$50,MATCH($E71,Products!$A$2:$A$50,0)),0))</f>
        <v>1100</v>
      </c>
      <c r="K71" s="41" t="n">
        <f aca="false">IF($A71="","",$F71*$I71*(1-$G71))</f>
        <v>52650</v>
      </c>
      <c r="L71" s="41" t="n">
        <f aca="false">IF($A71="","",$F71*$J71)</f>
        <v>42900</v>
      </c>
      <c r="M71" s="41" t="n">
        <f aca="false">IF($A71="","",$K71-$L71)</f>
        <v>9750</v>
      </c>
    </row>
    <row r="72" customFormat="false" ht="15" hidden="false" customHeight="false" outlineLevel="0" collapsed="false">
      <c r="A72" s="37" t="s">
        <v>170</v>
      </c>
      <c r="B72" s="38" t="n">
        <v>45734</v>
      </c>
      <c r="C72" s="37" t="s">
        <v>78</v>
      </c>
      <c r="D72" s="37" t="s">
        <v>79</v>
      </c>
      <c r="E72" s="37" t="s">
        <v>107</v>
      </c>
      <c r="F72" s="39" t="n">
        <v>13</v>
      </c>
      <c r="G72" s="40" t="n">
        <v>0.05</v>
      </c>
      <c r="H72" s="8" t="str">
        <f aca="false">IF($A72="","",IFERROR(INDEX(Products!$B$2:$B$50,MATCH($E72,Products!$A$2:$A$50,0)),"Unmapped"))</f>
        <v>Furniture</v>
      </c>
      <c r="I72" s="41" t="n">
        <f aca="false">IF($A72="","",IFERROR(INDEX(Products!$C$2:$C$50,MATCH($E72,Products!$A$2:$A$50,0)),0))</f>
        <v>7200</v>
      </c>
      <c r="J72" s="41" t="n">
        <f aca="false">IF($A72="","",IFERROR(INDEX(Products!$D$2:$D$50,MATCH($E72,Products!$A$2:$A$50,0)),0))</f>
        <v>5400</v>
      </c>
      <c r="K72" s="41" t="n">
        <f aca="false">IF($A72="","",$F72*$I72*(1-$G72))</f>
        <v>88920</v>
      </c>
      <c r="L72" s="41" t="n">
        <f aca="false">IF($A72="","",$F72*$J72)</f>
        <v>70200</v>
      </c>
      <c r="M72" s="41" t="n">
        <f aca="false">IF($A72="","",$K72-$L72)</f>
        <v>18720</v>
      </c>
    </row>
    <row r="73" customFormat="false" ht="15" hidden="false" customHeight="false" outlineLevel="0" collapsed="false">
      <c r="A73" s="37" t="s">
        <v>171</v>
      </c>
      <c r="B73" s="38" t="n">
        <v>45736</v>
      </c>
      <c r="C73" s="37" t="s">
        <v>78</v>
      </c>
      <c r="D73" s="37" t="s">
        <v>86</v>
      </c>
      <c r="E73" s="37" t="s">
        <v>84</v>
      </c>
      <c r="F73" s="39" t="n">
        <v>165</v>
      </c>
      <c r="G73" s="40" t="n">
        <v>0</v>
      </c>
      <c r="H73" s="8" t="str">
        <f aca="false">IF($A73="","",IFERROR(INDEX(Products!$B$2:$B$50,MATCH($E73,Products!$A$2:$A$50,0)),"Unmapped"))</f>
        <v>Stationery</v>
      </c>
      <c r="I73" s="41" t="n">
        <f aca="false">IF($A73="","",IFERROR(INDEX(Products!$C$2:$C$50,MATCH($E73,Products!$A$2:$A$50,0)),0))</f>
        <v>350</v>
      </c>
      <c r="J73" s="41" t="n">
        <f aca="false">IF($A73="","",IFERROR(INDEX(Products!$D$2:$D$50,MATCH($E73,Products!$A$2:$A$50,0)),0))</f>
        <v>240</v>
      </c>
      <c r="K73" s="41" t="n">
        <f aca="false">IF($A73="","",$F73*$I73*(1-$G73))</f>
        <v>57750</v>
      </c>
      <c r="L73" s="41" t="n">
        <f aca="false">IF($A73="","",$F73*$J73)</f>
        <v>39600</v>
      </c>
      <c r="M73" s="41" t="n">
        <f aca="false">IF($A73="","",$K73-$L73)</f>
        <v>18150</v>
      </c>
    </row>
    <row r="74" customFormat="false" ht="15" hidden="false" customHeight="false" outlineLevel="0" collapsed="false">
      <c r="A74" s="37" t="s">
        <v>172</v>
      </c>
      <c r="B74" s="38" t="n">
        <v>45736</v>
      </c>
      <c r="C74" s="37" t="s">
        <v>105</v>
      </c>
      <c r="D74" s="37" t="s">
        <v>106</v>
      </c>
      <c r="E74" s="37" t="s">
        <v>103</v>
      </c>
      <c r="F74" s="39" t="n">
        <v>7</v>
      </c>
      <c r="G74" s="40" t="n">
        <v>0.15</v>
      </c>
      <c r="H74" s="8" t="str">
        <f aca="false">IF($A74="","",IFERROR(INDEX(Products!$B$2:$B$50,MATCH($E74,Products!$A$2:$A$50,0)),"Unmapped"))</f>
        <v>Electronics</v>
      </c>
      <c r="I74" s="41" t="n">
        <f aca="false">IF($A74="","",IFERROR(INDEX(Products!$C$2:$C$50,MATCH($E74,Products!$A$2:$A$50,0)),0))</f>
        <v>900</v>
      </c>
      <c r="J74" s="41" t="n">
        <f aca="false">IF($A74="","",IFERROR(INDEX(Products!$D$2:$D$50,MATCH($E74,Products!$A$2:$A$50,0)),0))</f>
        <v>620</v>
      </c>
      <c r="K74" s="41" t="n">
        <f aca="false">IF($A74="","",$F74*$I74*(1-$G74))</f>
        <v>5355</v>
      </c>
      <c r="L74" s="41" t="n">
        <f aca="false">IF($A74="","",$F74*$J74)</f>
        <v>4340</v>
      </c>
      <c r="M74" s="41" t="n">
        <f aca="false">IF($A74="","",$K74-$L74)</f>
        <v>1015</v>
      </c>
    </row>
    <row r="75" customFormat="false" ht="15" hidden="false" customHeight="false" outlineLevel="0" collapsed="false">
      <c r="A75" s="37" t="s">
        <v>173</v>
      </c>
      <c r="B75" s="38" t="n">
        <v>45739</v>
      </c>
      <c r="C75" s="37" t="s">
        <v>105</v>
      </c>
      <c r="D75" s="37" t="s">
        <v>106</v>
      </c>
      <c r="E75" s="37" t="s">
        <v>174</v>
      </c>
      <c r="F75" s="39" t="n">
        <v>29</v>
      </c>
      <c r="G75" s="40" t="n">
        <v>0</v>
      </c>
      <c r="H75" s="8" t="str">
        <f aca="false">IF($A75="","",IFERROR(INDEX(Products!$B$2:$B$50,MATCH($E75,Products!$A$2:$A$50,0)),"Unmapped"))</f>
        <v>Electronics</v>
      </c>
      <c r="I75" s="41" t="n">
        <f aca="false">IF($A75="","",IFERROR(INDEX(Products!$C$2:$C$50,MATCH($E75,Products!$A$2:$A$50,0)),0))</f>
        <v>9800</v>
      </c>
      <c r="J75" s="41" t="n">
        <f aca="false">IF($A75="","",IFERROR(INDEX(Products!$D$2:$D$50,MATCH($E75,Products!$A$2:$A$50,0)),0))</f>
        <v>7600</v>
      </c>
      <c r="K75" s="41" t="n">
        <f aca="false">IF($A75="","",$F75*$I75*(1-$G75))</f>
        <v>284200</v>
      </c>
      <c r="L75" s="41" t="n">
        <f aca="false">IF($A75="","",$F75*$J75)</f>
        <v>220400</v>
      </c>
      <c r="M75" s="41" t="n">
        <f aca="false">IF($A75="","",$K75-$L75)</f>
        <v>63800</v>
      </c>
    </row>
    <row r="76" customFormat="false" ht="15" hidden="false" customHeight="false" outlineLevel="0" collapsed="false">
      <c r="A76" s="37" t="s">
        <v>175</v>
      </c>
      <c r="B76" s="38" t="n">
        <v>45742</v>
      </c>
      <c r="C76" s="37" t="s">
        <v>82</v>
      </c>
      <c r="D76" s="37" t="s">
        <v>83</v>
      </c>
      <c r="E76" s="37" t="s">
        <v>114</v>
      </c>
      <c r="F76" s="39" t="n">
        <v>9</v>
      </c>
      <c r="G76" s="40" t="n">
        <v>0.1</v>
      </c>
      <c r="H76" s="8" t="str">
        <f aca="false">IF($A76="","",IFERROR(INDEX(Products!$B$2:$B$50,MATCH($E76,Products!$A$2:$A$50,0)),"Unmapped"))</f>
        <v>Pantry</v>
      </c>
      <c r="I76" s="41" t="n">
        <f aca="false">IF($A76="","",IFERROR(INDEX(Products!$C$2:$C$50,MATCH($E76,Products!$A$2:$A$50,0)),0))</f>
        <v>1500</v>
      </c>
      <c r="J76" s="41" t="n">
        <f aca="false">IF($A76="","",IFERROR(INDEX(Products!$D$2:$D$50,MATCH($E76,Products!$A$2:$A$50,0)),0))</f>
        <v>1100</v>
      </c>
      <c r="K76" s="41" t="n">
        <f aca="false">IF($A76="","",$F76*$I76*(1-$G76))</f>
        <v>12150</v>
      </c>
      <c r="L76" s="41" t="n">
        <f aca="false">IF($A76="","",$F76*$J76)</f>
        <v>9900</v>
      </c>
      <c r="M76" s="41" t="n">
        <f aca="false">IF($A76="","",$K76-$L76)</f>
        <v>2250</v>
      </c>
    </row>
    <row r="77" customFormat="false" ht="15" hidden="false" customHeight="false" outlineLevel="0" collapsed="false">
      <c r="A77" s="37" t="s">
        <v>176</v>
      </c>
      <c r="B77" s="38" t="n">
        <v>45742</v>
      </c>
      <c r="C77" s="37" t="s">
        <v>105</v>
      </c>
      <c r="D77" s="37" t="s">
        <v>116</v>
      </c>
      <c r="E77" s="37" t="s">
        <v>107</v>
      </c>
      <c r="F77" s="39" t="n">
        <v>3</v>
      </c>
      <c r="G77" s="40" t="n">
        <v>0.05</v>
      </c>
      <c r="H77" s="8" t="str">
        <f aca="false">IF($A77="","",IFERROR(INDEX(Products!$B$2:$B$50,MATCH($E77,Products!$A$2:$A$50,0)),"Unmapped"))</f>
        <v>Furniture</v>
      </c>
      <c r="I77" s="41" t="n">
        <f aca="false">IF($A77="","",IFERROR(INDEX(Products!$C$2:$C$50,MATCH($E77,Products!$A$2:$A$50,0)),0))</f>
        <v>7200</v>
      </c>
      <c r="J77" s="41" t="n">
        <f aca="false">IF($A77="","",IFERROR(INDEX(Products!$D$2:$D$50,MATCH($E77,Products!$A$2:$A$50,0)),0))</f>
        <v>5400</v>
      </c>
      <c r="K77" s="41" t="n">
        <f aca="false">IF($A77="","",$F77*$I77*(1-$G77))</f>
        <v>20520</v>
      </c>
      <c r="L77" s="41" t="n">
        <f aca="false">IF($A77="","",$F77*$J77)</f>
        <v>16200</v>
      </c>
      <c r="M77" s="41" t="n">
        <f aca="false">IF($A77="","",$K77-$L77)</f>
        <v>4320</v>
      </c>
    </row>
    <row r="78" customFormat="false" ht="15" hidden="false" customHeight="false" outlineLevel="0" collapsed="false">
      <c r="A78" s="37" t="s">
        <v>177</v>
      </c>
      <c r="B78" s="38" t="n">
        <v>45743</v>
      </c>
      <c r="C78" s="37" t="s">
        <v>88</v>
      </c>
      <c r="D78" s="37" t="s">
        <v>111</v>
      </c>
      <c r="E78" s="37" t="s">
        <v>103</v>
      </c>
      <c r="F78" s="39" t="n">
        <v>6</v>
      </c>
      <c r="G78" s="40" t="n">
        <v>0.05</v>
      </c>
      <c r="H78" s="8" t="str">
        <f aca="false">IF($A78="","",IFERROR(INDEX(Products!$B$2:$B$50,MATCH($E78,Products!$A$2:$A$50,0)),"Unmapped"))</f>
        <v>Electronics</v>
      </c>
      <c r="I78" s="41" t="n">
        <f aca="false">IF($A78="","",IFERROR(INDEX(Products!$C$2:$C$50,MATCH($E78,Products!$A$2:$A$50,0)),0))</f>
        <v>900</v>
      </c>
      <c r="J78" s="41" t="n">
        <f aca="false">IF($A78="","",IFERROR(INDEX(Products!$D$2:$D$50,MATCH($E78,Products!$A$2:$A$50,0)),0))</f>
        <v>620</v>
      </c>
      <c r="K78" s="41" t="n">
        <f aca="false">IF($A78="","",$F78*$I78*(1-$G78))</f>
        <v>5130</v>
      </c>
      <c r="L78" s="41" t="n">
        <f aca="false">IF($A78="","",$F78*$J78)</f>
        <v>3720</v>
      </c>
      <c r="M78" s="41" t="n">
        <f aca="false">IF($A78="","",$K78-$L78)</f>
        <v>1410</v>
      </c>
    </row>
    <row r="79" customFormat="false" ht="15" hidden="false" customHeight="false" outlineLevel="0" collapsed="false">
      <c r="A79" s="37" t="s">
        <v>178</v>
      </c>
      <c r="B79" s="38" t="n">
        <v>45745</v>
      </c>
      <c r="C79" s="37" t="s">
        <v>88</v>
      </c>
      <c r="D79" s="37" t="s">
        <v>111</v>
      </c>
      <c r="E79" s="37" t="s">
        <v>94</v>
      </c>
      <c r="F79" s="39" t="n">
        <v>189</v>
      </c>
      <c r="G79" s="40" t="n">
        <v>0.05</v>
      </c>
      <c r="H79" s="8" t="str">
        <f aca="false">IF($A79="","",IFERROR(INDEX(Products!$B$2:$B$50,MATCH($E79,Products!$A$2:$A$50,0)),"Unmapped"))</f>
        <v>Stationery</v>
      </c>
      <c r="I79" s="41" t="n">
        <f aca="false">IF($A79="","",IFERROR(INDEX(Products!$C$2:$C$50,MATCH($E79,Products!$A$2:$A$50,0)),0))</f>
        <v>280</v>
      </c>
      <c r="J79" s="41" t="n">
        <f aca="false">IF($A79="","",IFERROR(INDEX(Products!$D$2:$D$50,MATCH($E79,Products!$A$2:$A$50,0)),0))</f>
        <v>210</v>
      </c>
      <c r="K79" s="41" t="n">
        <f aca="false">IF($A79="","",$F79*$I79*(1-$G79))</f>
        <v>50274</v>
      </c>
      <c r="L79" s="41" t="n">
        <f aca="false">IF($A79="","",$F79*$J79)</f>
        <v>39690</v>
      </c>
      <c r="M79" s="41" t="n">
        <f aca="false">IF($A79="","",$K79-$L79)</f>
        <v>10584</v>
      </c>
    </row>
    <row r="80" customFormat="false" ht="15" hidden="false" customHeight="false" outlineLevel="0" collapsed="false">
      <c r="A80" s="37" t="s">
        <v>179</v>
      </c>
      <c r="B80" s="38" t="n">
        <v>45747</v>
      </c>
      <c r="C80" s="37" t="s">
        <v>82</v>
      </c>
      <c r="D80" s="37" t="s">
        <v>83</v>
      </c>
      <c r="E80" s="37" t="s">
        <v>121</v>
      </c>
      <c r="F80" s="39" t="n">
        <v>25</v>
      </c>
      <c r="G80" s="40" t="n">
        <v>0.15</v>
      </c>
      <c r="H80" s="8" t="str">
        <f aca="false">IF($A80="","",IFERROR(INDEX(Products!$B$2:$B$50,MATCH($E80,Products!$A$2:$A$50,0)),"Unmapped"))</f>
        <v>Electronics</v>
      </c>
      <c r="I80" s="41" t="n">
        <f aca="false">IF($A80="","",IFERROR(INDEX(Products!$C$2:$C$50,MATCH($E80,Products!$A$2:$A$50,0)),0))</f>
        <v>650</v>
      </c>
      <c r="J80" s="41" t="n">
        <f aca="false">IF($A80="","",IFERROR(INDEX(Products!$D$2:$D$50,MATCH($E80,Products!$A$2:$A$50,0)),0))</f>
        <v>430</v>
      </c>
      <c r="K80" s="41" t="n">
        <f aca="false">IF($A80="","",$F80*$I80*(1-$G80))</f>
        <v>13812.5</v>
      </c>
      <c r="L80" s="41" t="n">
        <f aca="false">IF($A80="","",$F80*$J80)</f>
        <v>10750</v>
      </c>
      <c r="M80" s="41" t="n">
        <f aca="false">IF($A80="","",$K80-$L80)</f>
        <v>3062.5</v>
      </c>
    </row>
    <row r="81" customFormat="false" ht="15" hidden="false" customHeight="false" outlineLevel="0" collapsed="false">
      <c r="A81" s="37" t="s">
        <v>180</v>
      </c>
      <c r="B81" s="38" t="n">
        <v>45747</v>
      </c>
      <c r="C81" s="37" t="s">
        <v>78</v>
      </c>
      <c r="D81" s="37" t="s">
        <v>79</v>
      </c>
      <c r="E81" s="37" t="s">
        <v>121</v>
      </c>
      <c r="F81" s="39" t="n">
        <v>26</v>
      </c>
      <c r="G81" s="40" t="n">
        <v>0</v>
      </c>
      <c r="H81" s="8" t="str">
        <f aca="false">IF($A81="","",IFERROR(INDEX(Products!$B$2:$B$50,MATCH($E81,Products!$A$2:$A$50,0)),"Unmapped"))</f>
        <v>Electronics</v>
      </c>
      <c r="I81" s="41" t="n">
        <f aca="false">IF($A81="","",IFERROR(INDEX(Products!$C$2:$C$50,MATCH($E81,Products!$A$2:$A$50,0)),0))</f>
        <v>650</v>
      </c>
      <c r="J81" s="41" t="n">
        <f aca="false">IF($A81="","",IFERROR(INDEX(Products!$D$2:$D$50,MATCH($E81,Products!$A$2:$A$50,0)),0))</f>
        <v>430</v>
      </c>
      <c r="K81" s="41" t="n">
        <f aca="false">IF($A81="","",$F81*$I81*(1-$G81))</f>
        <v>16900</v>
      </c>
      <c r="L81" s="41" t="n">
        <f aca="false">IF($A81="","",$F81*$J81)</f>
        <v>11180</v>
      </c>
      <c r="M81" s="41" t="n">
        <f aca="false">IF($A81="","",$K81-$L81)</f>
        <v>5720</v>
      </c>
    </row>
    <row r="82" customFormat="false" ht="15" hidden="false" customHeight="false" outlineLevel="0" collapsed="false">
      <c r="A82" s="37" t="s">
        <v>181</v>
      </c>
      <c r="B82" s="38" t="n">
        <v>45747</v>
      </c>
      <c r="C82" s="37" t="s">
        <v>78</v>
      </c>
      <c r="D82" s="37" t="s">
        <v>79</v>
      </c>
      <c r="E82" s="37" t="s">
        <v>90</v>
      </c>
      <c r="F82" s="39" t="n">
        <v>52</v>
      </c>
      <c r="G82" s="40" t="n">
        <v>0.1</v>
      </c>
      <c r="H82" s="8" t="str">
        <f aca="false">IF($A82="","",IFERROR(INDEX(Products!$B$2:$B$50,MATCH($E82,Products!$A$2:$A$50,0)),"Unmapped"))</f>
        <v>Stationery</v>
      </c>
      <c r="I82" s="41" t="n">
        <f aca="false">IF($A82="","",IFERROR(INDEX(Products!$C$2:$C$50,MATCH($E82,Products!$A$2:$A$50,0)),0))</f>
        <v>120</v>
      </c>
      <c r="J82" s="41" t="n">
        <f aca="false">IF($A82="","",IFERROR(INDEX(Products!$D$2:$D$50,MATCH($E82,Products!$A$2:$A$50,0)),0))</f>
        <v>80</v>
      </c>
      <c r="K82" s="41" t="n">
        <f aca="false">IF($A82="","",$F82*$I82*(1-$G82))</f>
        <v>5616</v>
      </c>
      <c r="L82" s="41" t="n">
        <f aca="false">IF($A82="","",$F82*$J82)</f>
        <v>4160</v>
      </c>
      <c r="M82" s="41" t="n">
        <f aca="false">IF($A82="","",$K82-$L82)</f>
        <v>1456</v>
      </c>
    </row>
    <row r="83" customFormat="false" ht="15" hidden="false" customHeight="false" outlineLevel="0" collapsed="false">
      <c r="A83" s="37" t="s">
        <v>182</v>
      </c>
      <c r="B83" s="38" t="n">
        <v>45747</v>
      </c>
      <c r="C83" s="37" t="s">
        <v>82</v>
      </c>
      <c r="D83" s="37" t="s">
        <v>93</v>
      </c>
      <c r="E83" s="37" t="s">
        <v>134</v>
      </c>
      <c r="F83" s="39" t="n">
        <v>9</v>
      </c>
      <c r="G83" s="40" t="n">
        <v>0</v>
      </c>
      <c r="H83" s="8" t="str">
        <f aca="false">IF($A83="","",IFERROR(INDEX(Products!$B$2:$B$50,MATCH($E83,Products!$A$2:$A$50,0)),"Unmapped"))</f>
        <v>Furniture</v>
      </c>
      <c r="I83" s="41" t="n">
        <f aca="false">IF($A83="","",IFERROR(INDEX(Products!$C$2:$C$50,MATCH($E83,Products!$A$2:$A$50,0)),0))</f>
        <v>6100</v>
      </c>
      <c r="J83" s="41" t="n">
        <f aca="false">IF($A83="","",IFERROR(INDEX(Products!$D$2:$D$50,MATCH($E83,Products!$A$2:$A$50,0)),0))</f>
        <v>4500</v>
      </c>
      <c r="K83" s="41" t="n">
        <f aca="false">IF($A83="","",$F83*$I83*(1-$G83))</f>
        <v>54900</v>
      </c>
      <c r="L83" s="41" t="n">
        <f aca="false">IF($A83="","",$F83*$J83)</f>
        <v>40500</v>
      </c>
      <c r="M83" s="41" t="n">
        <f aca="false">IF($A83="","",$K83-$L83)</f>
        <v>14400</v>
      </c>
    </row>
    <row r="84" customFormat="false" ht="15" hidden="false" customHeight="false" outlineLevel="0" collapsed="false">
      <c r="A84" s="37" t="s">
        <v>183</v>
      </c>
      <c r="B84" s="38" t="n">
        <v>45747</v>
      </c>
      <c r="C84" s="37" t="s">
        <v>82</v>
      </c>
      <c r="D84" s="37" t="s">
        <v>93</v>
      </c>
      <c r="E84" s="37" t="s">
        <v>90</v>
      </c>
      <c r="F84" s="39" t="n">
        <v>170</v>
      </c>
      <c r="G84" s="40" t="n">
        <v>0.1</v>
      </c>
      <c r="H84" s="8" t="str">
        <f aca="false">IF($A84="","",IFERROR(INDEX(Products!$B$2:$B$50,MATCH($E84,Products!$A$2:$A$50,0)),"Unmapped"))</f>
        <v>Stationery</v>
      </c>
      <c r="I84" s="41" t="n">
        <f aca="false">IF($A84="","",IFERROR(INDEX(Products!$C$2:$C$50,MATCH($E84,Products!$A$2:$A$50,0)),0))</f>
        <v>120</v>
      </c>
      <c r="J84" s="41" t="n">
        <f aca="false">IF($A84="","",IFERROR(INDEX(Products!$D$2:$D$50,MATCH($E84,Products!$A$2:$A$50,0)),0))</f>
        <v>80</v>
      </c>
      <c r="K84" s="41" t="n">
        <f aca="false">IF($A84="","",$F84*$I84*(1-$G84))</f>
        <v>18360</v>
      </c>
      <c r="L84" s="41" t="n">
        <f aca="false">IF($A84="","",$F84*$J84)</f>
        <v>13600</v>
      </c>
      <c r="M84" s="41" t="n">
        <f aca="false">IF($A84="","",$K84-$L84)</f>
        <v>4760</v>
      </c>
    </row>
    <row r="85" customFormat="false" ht="15" hidden="false" customHeight="false" outlineLevel="0" collapsed="false">
      <c r="A85" s="37" t="s">
        <v>184</v>
      </c>
      <c r="B85" s="38" t="n">
        <v>45748</v>
      </c>
      <c r="C85" s="37" t="s">
        <v>105</v>
      </c>
      <c r="D85" s="37" t="s">
        <v>116</v>
      </c>
      <c r="E85" s="37" t="s">
        <v>114</v>
      </c>
      <c r="F85" s="39" t="n">
        <v>39</v>
      </c>
      <c r="G85" s="40" t="n">
        <v>0</v>
      </c>
      <c r="H85" s="8" t="str">
        <f aca="false">IF($A85="","",IFERROR(INDEX(Products!$B$2:$B$50,MATCH($E85,Products!$A$2:$A$50,0)),"Unmapped"))</f>
        <v>Pantry</v>
      </c>
      <c r="I85" s="41" t="n">
        <f aca="false">IF($A85="","",IFERROR(INDEX(Products!$C$2:$C$50,MATCH($E85,Products!$A$2:$A$50,0)),0))</f>
        <v>1500</v>
      </c>
      <c r="J85" s="41" t="n">
        <f aca="false">IF($A85="","",IFERROR(INDEX(Products!$D$2:$D$50,MATCH($E85,Products!$A$2:$A$50,0)),0))</f>
        <v>1100</v>
      </c>
      <c r="K85" s="41" t="n">
        <f aca="false">IF($A85="","",$F85*$I85*(1-$G85))</f>
        <v>58500</v>
      </c>
      <c r="L85" s="41" t="n">
        <f aca="false">IF($A85="","",$F85*$J85)</f>
        <v>42900</v>
      </c>
      <c r="M85" s="41" t="n">
        <f aca="false">IF($A85="","",$K85-$L85)</f>
        <v>15600</v>
      </c>
    </row>
    <row r="86" customFormat="false" ht="15" hidden="false" customHeight="false" outlineLevel="0" collapsed="false">
      <c r="A86" s="37" t="s">
        <v>185</v>
      </c>
      <c r="B86" s="38" t="n">
        <v>45749</v>
      </c>
      <c r="C86" s="37" t="s">
        <v>82</v>
      </c>
      <c r="D86" s="37" t="s">
        <v>93</v>
      </c>
      <c r="E86" s="37" t="s">
        <v>134</v>
      </c>
      <c r="F86" s="39" t="n">
        <v>3</v>
      </c>
      <c r="G86" s="40" t="n">
        <v>0</v>
      </c>
      <c r="H86" s="8" t="str">
        <f aca="false">IF($A86="","",IFERROR(INDEX(Products!$B$2:$B$50,MATCH($E86,Products!$A$2:$A$50,0)),"Unmapped"))</f>
        <v>Furniture</v>
      </c>
      <c r="I86" s="41" t="n">
        <f aca="false">IF($A86="","",IFERROR(INDEX(Products!$C$2:$C$50,MATCH($E86,Products!$A$2:$A$50,0)),0))</f>
        <v>6100</v>
      </c>
      <c r="J86" s="41" t="n">
        <f aca="false">IF($A86="","",IFERROR(INDEX(Products!$D$2:$D$50,MATCH($E86,Products!$A$2:$A$50,0)),0))</f>
        <v>4500</v>
      </c>
      <c r="K86" s="41" t="n">
        <f aca="false">IF($A86="","",$F86*$I86*(1-$G86))</f>
        <v>18300</v>
      </c>
      <c r="L86" s="41" t="n">
        <f aca="false">IF($A86="","",$F86*$J86)</f>
        <v>13500</v>
      </c>
      <c r="M86" s="41" t="n">
        <f aca="false">IF($A86="","",$K86-$L86)</f>
        <v>4800</v>
      </c>
    </row>
    <row r="87" customFormat="false" ht="15" hidden="false" customHeight="false" outlineLevel="0" collapsed="false">
      <c r="A87" s="37" t="s">
        <v>186</v>
      </c>
      <c r="B87" s="38" t="n">
        <v>45750</v>
      </c>
      <c r="C87" s="37" t="s">
        <v>78</v>
      </c>
      <c r="D87" s="37" t="s">
        <v>86</v>
      </c>
      <c r="E87" s="37" t="s">
        <v>134</v>
      </c>
      <c r="F87" s="39" t="n">
        <v>1</v>
      </c>
      <c r="G87" s="40" t="n">
        <v>0</v>
      </c>
      <c r="H87" s="8" t="str">
        <f aca="false">IF($A87="","",IFERROR(INDEX(Products!$B$2:$B$50,MATCH($E87,Products!$A$2:$A$50,0)),"Unmapped"))</f>
        <v>Furniture</v>
      </c>
      <c r="I87" s="41" t="n">
        <f aca="false">IF($A87="","",IFERROR(INDEX(Products!$C$2:$C$50,MATCH($E87,Products!$A$2:$A$50,0)),0))</f>
        <v>6100</v>
      </c>
      <c r="J87" s="41" t="n">
        <f aca="false">IF($A87="","",IFERROR(INDEX(Products!$D$2:$D$50,MATCH($E87,Products!$A$2:$A$50,0)),0))</f>
        <v>4500</v>
      </c>
      <c r="K87" s="41" t="n">
        <f aca="false">IF($A87="","",$F87*$I87*(1-$G87))</f>
        <v>6100</v>
      </c>
      <c r="L87" s="41" t="n">
        <f aca="false">IF($A87="","",$F87*$J87)</f>
        <v>4500</v>
      </c>
      <c r="M87" s="41" t="n">
        <f aca="false">IF($A87="","",$K87-$L87)</f>
        <v>1600</v>
      </c>
    </row>
    <row r="88" customFormat="false" ht="15" hidden="false" customHeight="false" outlineLevel="0" collapsed="false">
      <c r="A88" s="37" t="s">
        <v>187</v>
      </c>
      <c r="B88" s="38" t="n">
        <v>45750</v>
      </c>
      <c r="C88" s="37" t="s">
        <v>78</v>
      </c>
      <c r="D88" s="37" t="s">
        <v>86</v>
      </c>
      <c r="E88" s="37" t="s">
        <v>134</v>
      </c>
      <c r="F88" s="39" t="n">
        <v>3</v>
      </c>
      <c r="G88" s="40" t="n">
        <v>0</v>
      </c>
      <c r="H88" s="8" t="str">
        <f aca="false">IF($A88="","",IFERROR(INDEX(Products!$B$2:$B$50,MATCH($E88,Products!$A$2:$A$50,0)),"Unmapped"))</f>
        <v>Furniture</v>
      </c>
      <c r="I88" s="41" t="n">
        <f aca="false">IF($A88="","",IFERROR(INDEX(Products!$C$2:$C$50,MATCH($E88,Products!$A$2:$A$50,0)),0))</f>
        <v>6100</v>
      </c>
      <c r="J88" s="41" t="n">
        <f aca="false">IF($A88="","",IFERROR(INDEX(Products!$D$2:$D$50,MATCH($E88,Products!$A$2:$A$50,0)),0))</f>
        <v>4500</v>
      </c>
      <c r="K88" s="41" t="n">
        <f aca="false">IF($A88="","",$F88*$I88*(1-$G88))</f>
        <v>18300</v>
      </c>
      <c r="L88" s="41" t="n">
        <f aca="false">IF($A88="","",$F88*$J88)</f>
        <v>13500</v>
      </c>
      <c r="M88" s="41" t="n">
        <f aca="false">IF($A88="","",$K88-$L88)</f>
        <v>4800</v>
      </c>
    </row>
    <row r="89" customFormat="false" ht="15" hidden="false" customHeight="false" outlineLevel="0" collapsed="false">
      <c r="A89" s="37" t="s">
        <v>188</v>
      </c>
      <c r="B89" s="38" t="n">
        <v>45752</v>
      </c>
      <c r="C89" s="37" t="s">
        <v>78</v>
      </c>
      <c r="D89" s="37" t="s">
        <v>86</v>
      </c>
      <c r="E89" s="37" t="s">
        <v>134</v>
      </c>
      <c r="F89" s="39" t="n">
        <v>13</v>
      </c>
      <c r="G89" s="40" t="n">
        <v>0.1</v>
      </c>
      <c r="H89" s="8" t="str">
        <f aca="false">IF($A89="","",IFERROR(INDEX(Products!$B$2:$B$50,MATCH($E89,Products!$A$2:$A$50,0)),"Unmapped"))</f>
        <v>Furniture</v>
      </c>
      <c r="I89" s="41" t="n">
        <f aca="false">IF($A89="","",IFERROR(INDEX(Products!$C$2:$C$50,MATCH($E89,Products!$A$2:$A$50,0)),0))</f>
        <v>6100</v>
      </c>
      <c r="J89" s="41" t="n">
        <f aca="false">IF($A89="","",IFERROR(INDEX(Products!$D$2:$D$50,MATCH($E89,Products!$A$2:$A$50,0)),0))</f>
        <v>4500</v>
      </c>
      <c r="K89" s="41" t="n">
        <f aca="false">IF($A89="","",$F89*$I89*(1-$G89))</f>
        <v>71370</v>
      </c>
      <c r="L89" s="41" t="n">
        <f aca="false">IF($A89="","",$F89*$J89)</f>
        <v>58500</v>
      </c>
      <c r="M89" s="41" t="n">
        <f aca="false">IF($A89="","",$K89-$L89)</f>
        <v>12870</v>
      </c>
    </row>
    <row r="90" customFormat="false" ht="15" hidden="false" customHeight="false" outlineLevel="0" collapsed="false">
      <c r="A90" s="37" t="s">
        <v>189</v>
      </c>
      <c r="B90" s="38" t="n">
        <v>45752</v>
      </c>
      <c r="C90" s="37" t="s">
        <v>82</v>
      </c>
      <c r="D90" s="37" t="s">
        <v>93</v>
      </c>
      <c r="E90" s="37" t="s">
        <v>103</v>
      </c>
      <c r="F90" s="39" t="n">
        <v>21</v>
      </c>
      <c r="G90" s="40" t="n">
        <v>0</v>
      </c>
      <c r="H90" s="8" t="str">
        <f aca="false">IF($A90="","",IFERROR(INDEX(Products!$B$2:$B$50,MATCH($E90,Products!$A$2:$A$50,0)),"Unmapped"))</f>
        <v>Electronics</v>
      </c>
      <c r="I90" s="41" t="n">
        <f aca="false">IF($A90="","",IFERROR(INDEX(Products!$C$2:$C$50,MATCH($E90,Products!$A$2:$A$50,0)),0))</f>
        <v>900</v>
      </c>
      <c r="J90" s="41" t="n">
        <f aca="false">IF($A90="","",IFERROR(INDEX(Products!$D$2:$D$50,MATCH($E90,Products!$A$2:$A$50,0)),0))</f>
        <v>620</v>
      </c>
      <c r="K90" s="41" t="n">
        <f aca="false">IF($A90="","",$F90*$I90*(1-$G90))</f>
        <v>18900</v>
      </c>
      <c r="L90" s="41" t="n">
        <f aca="false">IF($A90="","",$F90*$J90)</f>
        <v>13020</v>
      </c>
      <c r="M90" s="41" t="n">
        <f aca="false">IF($A90="","",$K90-$L90)</f>
        <v>5880</v>
      </c>
    </row>
    <row r="91" customFormat="false" ht="15" hidden="false" customHeight="false" outlineLevel="0" collapsed="false">
      <c r="A91" s="37" t="s">
        <v>190</v>
      </c>
      <c r="B91" s="38" t="n">
        <v>45752</v>
      </c>
      <c r="C91" s="37" t="s">
        <v>88</v>
      </c>
      <c r="D91" s="37" t="s">
        <v>89</v>
      </c>
      <c r="E91" s="37" t="s">
        <v>114</v>
      </c>
      <c r="F91" s="39" t="n">
        <v>24</v>
      </c>
      <c r="G91" s="40" t="n">
        <v>0</v>
      </c>
      <c r="H91" s="8" t="str">
        <f aca="false">IF($A91="","",IFERROR(INDEX(Products!$B$2:$B$50,MATCH($E91,Products!$A$2:$A$50,0)),"Unmapped"))</f>
        <v>Pantry</v>
      </c>
      <c r="I91" s="41" t="n">
        <f aca="false">IF($A91="","",IFERROR(INDEX(Products!$C$2:$C$50,MATCH($E91,Products!$A$2:$A$50,0)),0))</f>
        <v>1500</v>
      </c>
      <c r="J91" s="41" t="n">
        <f aca="false">IF($A91="","",IFERROR(INDEX(Products!$D$2:$D$50,MATCH($E91,Products!$A$2:$A$50,0)),0))</f>
        <v>1100</v>
      </c>
      <c r="K91" s="41" t="n">
        <f aca="false">IF($A91="","",$F91*$I91*(1-$G91))</f>
        <v>36000</v>
      </c>
      <c r="L91" s="41" t="n">
        <f aca="false">IF($A91="","",$F91*$J91)</f>
        <v>26400</v>
      </c>
      <c r="M91" s="41" t="n">
        <f aca="false">IF($A91="","",$K91-$L91)</f>
        <v>9600</v>
      </c>
    </row>
    <row r="92" customFormat="false" ht="15" hidden="false" customHeight="false" outlineLevel="0" collapsed="false">
      <c r="A92" s="37" t="s">
        <v>191</v>
      </c>
      <c r="B92" s="38" t="n">
        <v>45753</v>
      </c>
      <c r="C92" s="37" t="s">
        <v>78</v>
      </c>
      <c r="D92" s="37" t="s">
        <v>86</v>
      </c>
      <c r="E92" s="37" t="s">
        <v>134</v>
      </c>
      <c r="F92" s="39" t="n">
        <v>2</v>
      </c>
      <c r="G92" s="40" t="n">
        <v>0</v>
      </c>
      <c r="H92" s="8" t="str">
        <f aca="false">IF($A92="","",IFERROR(INDEX(Products!$B$2:$B$50,MATCH($E92,Products!$A$2:$A$50,0)),"Unmapped"))</f>
        <v>Furniture</v>
      </c>
      <c r="I92" s="41" t="n">
        <f aca="false">IF($A92="","",IFERROR(INDEX(Products!$C$2:$C$50,MATCH($E92,Products!$A$2:$A$50,0)),0))</f>
        <v>6100</v>
      </c>
      <c r="J92" s="41" t="n">
        <f aca="false">IF($A92="","",IFERROR(INDEX(Products!$D$2:$D$50,MATCH($E92,Products!$A$2:$A$50,0)),0))</f>
        <v>4500</v>
      </c>
      <c r="K92" s="41" t="n">
        <f aca="false">IF($A92="","",$F92*$I92*(1-$G92))</f>
        <v>12200</v>
      </c>
      <c r="L92" s="41" t="n">
        <f aca="false">IF($A92="","",$F92*$J92)</f>
        <v>9000</v>
      </c>
      <c r="M92" s="41" t="n">
        <f aca="false">IF($A92="","",$K92-$L92)</f>
        <v>3200</v>
      </c>
    </row>
    <row r="93" customFormat="false" ht="15" hidden="false" customHeight="false" outlineLevel="0" collapsed="false">
      <c r="A93" s="37" t="s">
        <v>192</v>
      </c>
      <c r="B93" s="38" t="n">
        <v>45754</v>
      </c>
      <c r="C93" s="37" t="s">
        <v>78</v>
      </c>
      <c r="D93" s="37" t="s">
        <v>86</v>
      </c>
      <c r="E93" s="37" t="s">
        <v>90</v>
      </c>
      <c r="F93" s="39" t="n">
        <v>141</v>
      </c>
      <c r="G93" s="40" t="n">
        <v>0.05</v>
      </c>
      <c r="H93" s="8" t="str">
        <f aca="false">IF($A93="","",IFERROR(INDEX(Products!$B$2:$B$50,MATCH($E93,Products!$A$2:$A$50,0)),"Unmapped"))</f>
        <v>Stationery</v>
      </c>
      <c r="I93" s="41" t="n">
        <f aca="false">IF($A93="","",IFERROR(INDEX(Products!$C$2:$C$50,MATCH($E93,Products!$A$2:$A$50,0)),0))</f>
        <v>120</v>
      </c>
      <c r="J93" s="41" t="n">
        <f aca="false">IF($A93="","",IFERROR(INDEX(Products!$D$2:$D$50,MATCH($E93,Products!$A$2:$A$50,0)),0))</f>
        <v>80</v>
      </c>
      <c r="K93" s="41" t="n">
        <f aca="false">IF($A93="","",$F93*$I93*(1-$G93))</f>
        <v>16074</v>
      </c>
      <c r="L93" s="41" t="n">
        <f aca="false">IF($A93="","",$F93*$J93)</f>
        <v>11280</v>
      </c>
      <c r="M93" s="41" t="n">
        <f aca="false">IF($A93="","",$K93-$L93)</f>
        <v>4794</v>
      </c>
    </row>
    <row r="94" customFormat="false" ht="15" hidden="false" customHeight="false" outlineLevel="0" collapsed="false">
      <c r="A94" s="37" t="s">
        <v>193</v>
      </c>
      <c r="B94" s="38" t="n">
        <v>45754</v>
      </c>
      <c r="C94" s="37" t="s">
        <v>88</v>
      </c>
      <c r="D94" s="37" t="s">
        <v>89</v>
      </c>
      <c r="E94" s="37" t="s">
        <v>121</v>
      </c>
      <c r="F94" s="39" t="n">
        <v>2</v>
      </c>
      <c r="G94" s="40" t="n">
        <v>0.05</v>
      </c>
      <c r="H94" s="8" t="str">
        <f aca="false">IF($A94="","",IFERROR(INDEX(Products!$B$2:$B$50,MATCH($E94,Products!$A$2:$A$50,0)),"Unmapped"))</f>
        <v>Electronics</v>
      </c>
      <c r="I94" s="41" t="n">
        <f aca="false">IF($A94="","",IFERROR(INDEX(Products!$C$2:$C$50,MATCH($E94,Products!$A$2:$A$50,0)),0))</f>
        <v>650</v>
      </c>
      <c r="J94" s="41" t="n">
        <f aca="false">IF($A94="","",IFERROR(INDEX(Products!$D$2:$D$50,MATCH($E94,Products!$A$2:$A$50,0)),0))</f>
        <v>430</v>
      </c>
      <c r="K94" s="41" t="n">
        <f aca="false">IF($A94="","",$F94*$I94*(1-$G94))</f>
        <v>1235</v>
      </c>
      <c r="L94" s="41" t="n">
        <f aca="false">IF($A94="","",$F94*$J94)</f>
        <v>860</v>
      </c>
      <c r="M94" s="41" t="n">
        <f aca="false">IF($A94="","",$K94-$L94)</f>
        <v>375</v>
      </c>
    </row>
    <row r="95" customFormat="false" ht="15" hidden="false" customHeight="false" outlineLevel="0" collapsed="false">
      <c r="A95" s="37" t="s">
        <v>194</v>
      </c>
      <c r="B95" s="38" t="n">
        <v>45754</v>
      </c>
      <c r="C95" s="37" t="s">
        <v>88</v>
      </c>
      <c r="D95" s="37" t="s">
        <v>111</v>
      </c>
      <c r="E95" s="37" t="s">
        <v>94</v>
      </c>
      <c r="F95" s="39" t="n">
        <v>94</v>
      </c>
      <c r="G95" s="40" t="n">
        <v>0</v>
      </c>
      <c r="H95" s="8" t="str">
        <f aca="false">IF($A95="","",IFERROR(INDEX(Products!$B$2:$B$50,MATCH($E95,Products!$A$2:$A$50,0)),"Unmapped"))</f>
        <v>Stationery</v>
      </c>
      <c r="I95" s="41" t="n">
        <f aca="false">IF($A95="","",IFERROR(INDEX(Products!$C$2:$C$50,MATCH($E95,Products!$A$2:$A$50,0)),0))</f>
        <v>280</v>
      </c>
      <c r="J95" s="41" t="n">
        <f aca="false">IF($A95="","",IFERROR(INDEX(Products!$D$2:$D$50,MATCH($E95,Products!$A$2:$A$50,0)),0))</f>
        <v>210</v>
      </c>
      <c r="K95" s="41" t="n">
        <f aca="false">IF($A95="","",$F95*$I95*(1-$G95))</f>
        <v>26320</v>
      </c>
      <c r="L95" s="41" t="n">
        <f aca="false">IF($A95="","",$F95*$J95)</f>
        <v>19740</v>
      </c>
      <c r="M95" s="41" t="n">
        <f aca="false">IF($A95="","",$K95-$L95)</f>
        <v>6580</v>
      </c>
    </row>
    <row r="96" customFormat="false" ht="15" hidden="false" customHeight="false" outlineLevel="0" collapsed="false">
      <c r="A96" s="37" t="s">
        <v>195</v>
      </c>
      <c r="B96" s="38" t="n">
        <v>45755</v>
      </c>
      <c r="C96" s="37" t="s">
        <v>88</v>
      </c>
      <c r="D96" s="37" t="s">
        <v>89</v>
      </c>
      <c r="E96" s="37" t="s">
        <v>103</v>
      </c>
      <c r="F96" s="39" t="n">
        <v>30</v>
      </c>
      <c r="G96" s="40" t="n">
        <v>0.1</v>
      </c>
      <c r="H96" s="8" t="str">
        <f aca="false">IF($A96="","",IFERROR(INDEX(Products!$B$2:$B$50,MATCH($E96,Products!$A$2:$A$50,0)),"Unmapped"))</f>
        <v>Electronics</v>
      </c>
      <c r="I96" s="41" t="n">
        <f aca="false">IF($A96="","",IFERROR(INDEX(Products!$C$2:$C$50,MATCH($E96,Products!$A$2:$A$50,0)),0))</f>
        <v>900</v>
      </c>
      <c r="J96" s="41" t="n">
        <f aca="false">IF($A96="","",IFERROR(INDEX(Products!$D$2:$D$50,MATCH($E96,Products!$A$2:$A$50,0)),0))</f>
        <v>620</v>
      </c>
      <c r="K96" s="41" t="n">
        <f aca="false">IF($A96="","",$F96*$I96*(1-$G96))</f>
        <v>24300</v>
      </c>
      <c r="L96" s="41" t="n">
        <f aca="false">IF($A96="","",$F96*$J96)</f>
        <v>18600</v>
      </c>
      <c r="M96" s="41" t="n">
        <f aca="false">IF($A96="","",$K96-$L96)</f>
        <v>5700</v>
      </c>
    </row>
    <row r="97" customFormat="false" ht="15" hidden="false" customHeight="false" outlineLevel="0" collapsed="false">
      <c r="A97" s="37" t="s">
        <v>196</v>
      </c>
      <c r="B97" s="38" t="n">
        <v>45755</v>
      </c>
      <c r="C97" s="37" t="s">
        <v>78</v>
      </c>
      <c r="D97" s="37" t="s">
        <v>79</v>
      </c>
      <c r="E97" s="37" t="s">
        <v>84</v>
      </c>
      <c r="F97" s="39" t="n">
        <v>140</v>
      </c>
      <c r="G97" s="40" t="n">
        <v>0</v>
      </c>
      <c r="H97" s="8" t="str">
        <f aca="false">IF($A97="","",IFERROR(INDEX(Products!$B$2:$B$50,MATCH($E97,Products!$A$2:$A$50,0)),"Unmapped"))</f>
        <v>Stationery</v>
      </c>
      <c r="I97" s="41" t="n">
        <f aca="false">IF($A97="","",IFERROR(INDEX(Products!$C$2:$C$50,MATCH($E97,Products!$A$2:$A$50,0)),0))</f>
        <v>350</v>
      </c>
      <c r="J97" s="41" t="n">
        <f aca="false">IF($A97="","",IFERROR(INDEX(Products!$D$2:$D$50,MATCH($E97,Products!$A$2:$A$50,0)),0))</f>
        <v>240</v>
      </c>
      <c r="K97" s="41" t="n">
        <f aca="false">IF($A97="","",$F97*$I97*(1-$G97))</f>
        <v>49000</v>
      </c>
      <c r="L97" s="41" t="n">
        <f aca="false">IF($A97="","",$F97*$J97)</f>
        <v>33600</v>
      </c>
      <c r="M97" s="41" t="n">
        <f aca="false">IF($A97="","",$K97-$L97)</f>
        <v>15400</v>
      </c>
    </row>
    <row r="98" customFormat="false" ht="15" hidden="false" customHeight="false" outlineLevel="0" collapsed="false">
      <c r="A98" s="37" t="s">
        <v>197</v>
      </c>
      <c r="B98" s="38" t="n">
        <v>45756</v>
      </c>
      <c r="C98" s="37" t="s">
        <v>88</v>
      </c>
      <c r="D98" s="37" t="s">
        <v>111</v>
      </c>
      <c r="E98" s="37" t="s">
        <v>80</v>
      </c>
      <c r="F98" s="39" t="n">
        <v>23</v>
      </c>
      <c r="G98" s="40" t="n">
        <v>0.05</v>
      </c>
      <c r="H98" s="8" t="str">
        <f aca="false">IF($A98="","",IFERROR(INDEX(Products!$B$2:$B$50,MATCH($E98,Products!$A$2:$A$50,0)),"Unmapped"))</f>
        <v>Pantry</v>
      </c>
      <c r="I98" s="41" t="n">
        <f aca="false">IF($A98="","",IFERROR(INDEX(Products!$C$2:$C$50,MATCH($E98,Products!$A$2:$A$50,0)),0))</f>
        <v>5600</v>
      </c>
      <c r="J98" s="41" t="n">
        <f aca="false">IF($A98="","",IFERROR(INDEX(Products!$D$2:$D$50,MATCH($E98,Products!$A$2:$A$50,0)),0))</f>
        <v>4200</v>
      </c>
      <c r="K98" s="41" t="n">
        <f aca="false">IF($A98="","",$F98*$I98*(1-$G98))</f>
        <v>122360</v>
      </c>
      <c r="L98" s="41" t="n">
        <f aca="false">IF($A98="","",$F98*$J98)</f>
        <v>96600</v>
      </c>
      <c r="M98" s="41" t="n">
        <f aca="false">IF($A98="","",$K98-$L98)</f>
        <v>25760</v>
      </c>
    </row>
    <row r="99" customFormat="false" ht="15" hidden="false" customHeight="false" outlineLevel="0" collapsed="false">
      <c r="A99" s="37" t="s">
        <v>198</v>
      </c>
      <c r="B99" s="38" t="n">
        <v>45758</v>
      </c>
      <c r="C99" s="37" t="s">
        <v>78</v>
      </c>
      <c r="D99" s="37" t="s">
        <v>79</v>
      </c>
      <c r="E99" s="37" t="s">
        <v>94</v>
      </c>
      <c r="F99" s="39" t="n">
        <v>127</v>
      </c>
      <c r="G99" s="40" t="n">
        <v>0.05</v>
      </c>
      <c r="H99" s="8" t="str">
        <f aca="false">IF($A99="","",IFERROR(INDEX(Products!$B$2:$B$50,MATCH($E99,Products!$A$2:$A$50,0)),"Unmapped"))</f>
        <v>Stationery</v>
      </c>
      <c r="I99" s="41" t="n">
        <f aca="false">IF($A99="","",IFERROR(INDEX(Products!$C$2:$C$50,MATCH($E99,Products!$A$2:$A$50,0)),0))</f>
        <v>280</v>
      </c>
      <c r="J99" s="41" t="n">
        <f aca="false">IF($A99="","",IFERROR(INDEX(Products!$D$2:$D$50,MATCH($E99,Products!$A$2:$A$50,0)),0))</f>
        <v>210</v>
      </c>
      <c r="K99" s="41" t="n">
        <f aca="false">IF($A99="","",$F99*$I99*(1-$G99))</f>
        <v>33782</v>
      </c>
      <c r="L99" s="41" t="n">
        <f aca="false">IF($A99="","",$F99*$J99)</f>
        <v>26670</v>
      </c>
      <c r="M99" s="41" t="n">
        <f aca="false">IF($A99="","",$K99-$L99)</f>
        <v>7112</v>
      </c>
    </row>
    <row r="100" customFormat="false" ht="15" hidden="false" customHeight="false" outlineLevel="0" collapsed="false">
      <c r="A100" s="37" t="s">
        <v>199</v>
      </c>
      <c r="B100" s="38" t="n">
        <v>45758</v>
      </c>
      <c r="C100" s="37" t="s">
        <v>88</v>
      </c>
      <c r="D100" s="37" t="s">
        <v>89</v>
      </c>
      <c r="E100" s="37" t="s">
        <v>174</v>
      </c>
      <c r="F100" s="39" t="n">
        <v>4</v>
      </c>
      <c r="G100" s="40" t="n">
        <v>0.05</v>
      </c>
      <c r="H100" s="8" t="str">
        <f aca="false">IF($A100="","",IFERROR(INDEX(Products!$B$2:$B$50,MATCH($E100,Products!$A$2:$A$50,0)),"Unmapped"))</f>
        <v>Electronics</v>
      </c>
      <c r="I100" s="41" t="n">
        <f aca="false">IF($A100="","",IFERROR(INDEX(Products!$C$2:$C$50,MATCH($E100,Products!$A$2:$A$50,0)),0))</f>
        <v>9800</v>
      </c>
      <c r="J100" s="41" t="n">
        <f aca="false">IF($A100="","",IFERROR(INDEX(Products!$D$2:$D$50,MATCH($E100,Products!$A$2:$A$50,0)),0))</f>
        <v>7600</v>
      </c>
      <c r="K100" s="41" t="n">
        <f aca="false">IF($A100="","",$F100*$I100*(1-$G100))</f>
        <v>37240</v>
      </c>
      <c r="L100" s="41" t="n">
        <f aca="false">IF($A100="","",$F100*$J100)</f>
        <v>30400</v>
      </c>
      <c r="M100" s="41" t="n">
        <f aca="false">IF($A100="","",$K100-$L100)</f>
        <v>6840</v>
      </c>
    </row>
    <row r="101" customFormat="false" ht="15" hidden="false" customHeight="false" outlineLevel="0" collapsed="false">
      <c r="A101" s="37" t="s">
        <v>200</v>
      </c>
      <c r="B101" s="38" t="n">
        <v>45759</v>
      </c>
      <c r="C101" s="37" t="s">
        <v>88</v>
      </c>
      <c r="D101" s="37" t="s">
        <v>89</v>
      </c>
      <c r="E101" s="37" t="s">
        <v>94</v>
      </c>
      <c r="F101" s="39" t="n">
        <v>33</v>
      </c>
      <c r="G101" s="40" t="n">
        <v>0.05</v>
      </c>
      <c r="H101" s="8" t="str">
        <f aca="false">IF($A101="","",IFERROR(INDEX(Products!$B$2:$B$50,MATCH($E101,Products!$A$2:$A$50,0)),"Unmapped"))</f>
        <v>Stationery</v>
      </c>
      <c r="I101" s="41" t="n">
        <f aca="false">IF($A101="","",IFERROR(INDEX(Products!$C$2:$C$50,MATCH($E101,Products!$A$2:$A$50,0)),0))</f>
        <v>280</v>
      </c>
      <c r="J101" s="41" t="n">
        <f aca="false">IF($A101="","",IFERROR(INDEX(Products!$D$2:$D$50,MATCH($E101,Products!$A$2:$A$50,0)),0))</f>
        <v>210</v>
      </c>
      <c r="K101" s="41" t="n">
        <f aca="false">IF($A101="","",$F101*$I101*(1-$G101))</f>
        <v>8778</v>
      </c>
      <c r="L101" s="41" t="n">
        <f aca="false">IF($A101="","",$F101*$J101)</f>
        <v>6930</v>
      </c>
      <c r="M101" s="41" t="n">
        <f aca="false">IF($A101="","",$K101-$L101)</f>
        <v>1848</v>
      </c>
    </row>
    <row r="102" customFormat="false" ht="15" hidden="false" customHeight="false" outlineLevel="0" collapsed="false">
      <c r="A102" s="37" t="s">
        <v>201</v>
      </c>
      <c r="B102" s="38" t="n">
        <v>45760</v>
      </c>
      <c r="C102" s="37" t="s">
        <v>105</v>
      </c>
      <c r="D102" s="37" t="s">
        <v>116</v>
      </c>
      <c r="E102" s="37" t="s">
        <v>94</v>
      </c>
      <c r="F102" s="39" t="n">
        <v>79</v>
      </c>
      <c r="G102" s="40" t="n">
        <v>0.05</v>
      </c>
      <c r="H102" s="8" t="str">
        <f aca="false">IF($A102="","",IFERROR(INDEX(Products!$B$2:$B$50,MATCH($E102,Products!$A$2:$A$50,0)),"Unmapped"))</f>
        <v>Stationery</v>
      </c>
      <c r="I102" s="41" t="n">
        <f aca="false">IF($A102="","",IFERROR(INDEX(Products!$C$2:$C$50,MATCH($E102,Products!$A$2:$A$50,0)),0))</f>
        <v>280</v>
      </c>
      <c r="J102" s="41" t="n">
        <f aca="false">IF($A102="","",IFERROR(INDEX(Products!$D$2:$D$50,MATCH($E102,Products!$A$2:$A$50,0)),0))</f>
        <v>210</v>
      </c>
      <c r="K102" s="41" t="n">
        <f aca="false">IF($A102="","",$F102*$I102*(1-$G102))</f>
        <v>21014</v>
      </c>
      <c r="L102" s="41" t="n">
        <f aca="false">IF($A102="","",$F102*$J102)</f>
        <v>16590</v>
      </c>
      <c r="M102" s="41" t="n">
        <f aca="false">IF($A102="","",$K102-$L102)</f>
        <v>4424</v>
      </c>
    </row>
    <row r="103" customFormat="false" ht="15" hidden="false" customHeight="false" outlineLevel="0" collapsed="false">
      <c r="A103" s="37" t="s">
        <v>202</v>
      </c>
      <c r="B103" s="38" t="n">
        <v>45760</v>
      </c>
      <c r="C103" s="37" t="s">
        <v>88</v>
      </c>
      <c r="D103" s="37" t="s">
        <v>111</v>
      </c>
      <c r="E103" s="37" t="s">
        <v>103</v>
      </c>
      <c r="F103" s="39" t="n">
        <v>12</v>
      </c>
      <c r="G103" s="40" t="n">
        <v>0</v>
      </c>
      <c r="H103" s="8" t="str">
        <f aca="false">IF($A103="","",IFERROR(INDEX(Products!$B$2:$B$50,MATCH($E103,Products!$A$2:$A$50,0)),"Unmapped"))</f>
        <v>Electronics</v>
      </c>
      <c r="I103" s="41" t="n">
        <f aca="false">IF($A103="","",IFERROR(INDEX(Products!$C$2:$C$50,MATCH($E103,Products!$A$2:$A$50,0)),0))</f>
        <v>900</v>
      </c>
      <c r="J103" s="41" t="n">
        <f aca="false">IF($A103="","",IFERROR(INDEX(Products!$D$2:$D$50,MATCH($E103,Products!$A$2:$A$50,0)),0))</f>
        <v>620</v>
      </c>
      <c r="K103" s="41" t="n">
        <f aca="false">IF($A103="","",$F103*$I103*(1-$G103))</f>
        <v>10800</v>
      </c>
      <c r="L103" s="41" t="n">
        <f aca="false">IF($A103="","",$F103*$J103)</f>
        <v>7440</v>
      </c>
      <c r="M103" s="41" t="n">
        <f aca="false">IF($A103="","",$K103-$L103)</f>
        <v>3360</v>
      </c>
    </row>
    <row r="104" customFormat="false" ht="15" hidden="false" customHeight="false" outlineLevel="0" collapsed="false">
      <c r="A104" s="37" t="s">
        <v>203</v>
      </c>
      <c r="B104" s="38" t="n">
        <v>45761</v>
      </c>
      <c r="C104" s="37" t="s">
        <v>78</v>
      </c>
      <c r="D104" s="37" t="s">
        <v>86</v>
      </c>
      <c r="E104" s="37" t="s">
        <v>107</v>
      </c>
      <c r="F104" s="39" t="n">
        <v>6</v>
      </c>
      <c r="G104" s="40" t="n">
        <v>0</v>
      </c>
      <c r="H104" s="8" t="str">
        <f aca="false">IF($A104="","",IFERROR(INDEX(Products!$B$2:$B$50,MATCH($E104,Products!$A$2:$A$50,0)),"Unmapped"))</f>
        <v>Furniture</v>
      </c>
      <c r="I104" s="41" t="n">
        <f aca="false">IF($A104="","",IFERROR(INDEX(Products!$C$2:$C$50,MATCH($E104,Products!$A$2:$A$50,0)),0))</f>
        <v>7200</v>
      </c>
      <c r="J104" s="41" t="n">
        <f aca="false">IF($A104="","",IFERROR(INDEX(Products!$D$2:$D$50,MATCH($E104,Products!$A$2:$A$50,0)),0))</f>
        <v>5400</v>
      </c>
      <c r="K104" s="41" t="n">
        <f aca="false">IF($A104="","",$F104*$I104*(1-$G104))</f>
        <v>43200</v>
      </c>
      <c r="L104" s="41" t="n">
        <f aca="false">IF($A104="","",$F104*$J104)</f>
        <v>32400</v>
      </c>
      <c r="M104" s="41" t="n">
        <f aca="false">IF($A104="","",$K104-$L104)</f>
        <v>10800</v>
      </c>
    </row>
    <row r="105" customFormat="false" ht="15" hidden="false" customHeight="false" outlineLevel="0" collapsed="false">
      <c r="A105" s="37" t="s">
        <v>204</v>
      </c>
      <c r="B105" s="38" t="n">
        <v>45761</v>
      </c>
      <c r="C105" s="37" t="s">
        <v>105</v>
      </c>
      <c r="D105" s="37" t="s">
        <v>116</v>
      </c>
      <c r="E105" s="37" t="s">
        <v>90</v>
      </c>
      <c r="F105" s="39" t="n">
        <v>92</v>
      </c>
      <c r="G105" s="40" t="n">
        <v>0</v>
      </c>
      <c r="H105" s="8" t="str">
        <f aca="false">IF($A105="","",IFERROR(INDEX(Products!$B$2:$B$50,MATCH($E105,Products!$A$2:$A$50,0)),"Unmapped"))</f>
        <v>Stationery</v>
      </c>
      <c r="I105" s="41" t="n">
        <f aca="false">IF($A105="","",IFERROR(INDEX(Products!$C$2:$C$50,MATCH($E105,Products!$A$2:$A$50,0)),0))</f>
        <v>120</v>
      </c>
      <c r="J105" s="41" t="n">
        <f aca="false">IF($A105="","",IFERROR(INDEX(Products!$D$2:$D$50,MATCH($E105,Products!$A$2:$A$50,0)),0))</f>
        <v>80</v>
      </c>
      <c r="K105" s="41" t="n">
        <f aca="false">IF($A105="","",$F105*$I105*(1-$G105))</f>
        <v>11040</v>
      </c>
      <c r="L105" s="41" t="n">
        <f aca="false">IF($A105="","",$F105*$J105)</f>
        <v>7360</v>
      </c>
      <c r="M105" s="41" t="n">
        <f aca="false">IF($A105="","",$K105-$L105)</f>
        <v>3680</v>
      </c>
    </row>
    <row r="106" customFormat="false" ht="15" hidden="false" customHeight="false" outlineLevel="0" collapsed="false">
      <c r="A106" s="37" t="s">
        <v>205</v>
      </c>
      <c r="B106" s="38" t="n">
        <v>45762</v>
      </c>
      <c r="C106" s="37" t="s">
        <v>82</v>
      </c>
      <c r="D106" s="37" t="s">
        <v>93</v>
      </c>
      <c r="E106" s="37" t="s">
        <v>134</v>
      </c>
      <c r="F106" s="39" t="n">
        <v>7</v>
      </c>
      <c r="G106" s="40" t="n">
        <v>0.05</v>
      </c>
      <c r="H106" s="8" t="str">
        <f aca="false">IF($A106="","",IFERROR(INDEX(Products!$B$2:$B$50,MATCH($E106,Products!$A$2:$A$50,0)),"Unmapped"))</f>
        <v>Furniture</v>
      </c>
      <c r="I106" s="41" t="n">
        <f aca="false">IF($A106="","",IFERROR(INDEX(Products!$C$2:$C$50,MATCH($E106,Products!$A$2:$A$50,0)),0))</f>
        <v>6100</v>
      </c>
      <c r="J106" s="41" t="n">
        <f aca="false">IF($A106="","",IFERROR(INDEX(Products!$D$2:$D$50,MATCH($E106,Products!$A$2:$A$50,0)),0))</f>
        <v>4500</v>
      </c>
      <c r="K106" s="41" t="n">
        <f aca="false">IF($A106="","",$F106*$I106*(1-$G106))</f>
        <v>40565</v>
      </c>
      <c r="L106" s="41" t="n">
        <f aca="false">IF($A106="","",$F106*$J106)</f>
        <v>31500</v>
      </c>
      <c r="M106" s="41" t="n">
        <f aca="false">IF($A106="","",$K106-$L106)</f>
        <v>9065</v>
      </c>
    </row>
    <row r="107" customFormat="false" ht="15" hidden="false" customHeight="false" outlineLevel="0" collapsed="false">
      <c r="A107" s="37" t="s">
        <v>206</v>
      </c>
      <c r="B107" s="38" t="n">
        <v>45762</v>
      </c>
      <c r="C107" s="37" t="s">
        <v>105</v>
      </c>
      <c r="D107" s="37" t="s">
        <v>106</v>
      </c>
      <c r="E107" s="37" t="s">
        <v>121</v>
      </c>
      <c r="F107" s="39" t="n">
        <v>21</v>
      </c>
      <c r="G107" s="40" t="n">
        <v>0</v>
      </c>
      <c r="H107" s="8" t="str">
        <f aca="false">IF($A107="","",IFERROR(INDEX(Products!$B$2:$B$50,MATCH($E107,Products!$A$2:$A$50,0)),"Unmapped"))</f>
        <v>Electronics</v>
      </c>
      <c r="I107" s="41" t="n">
        <f aca="false">IF($A107="","",IFERROR(INDEX(Products!$C$2:$C$50,MATCH($E107,Products!$A$2:$A$50,0)),0))</f>
        <v>650</v>
      </c>
      <c r="J107" s="41" t="n">
        <f aca="false">IF($A107="","",IFERROR(INDEX(Products!$D$2:$D$50,MATCH($E107,Products!$A$2:$A$50,0)),0))</f>
        <v>430</v>
      </c>
      <c r="K107" s="41" t="n">
        <f aca="false">IF($A107="","",$F107*$I107*(1-$G107))</f>
        <v>13650</v>
      </c>
      <c r="L107" s="41" t="n">
        <f aca="false">IF($A107="","",$F107*$J107)</f>
        <v>9030</v>
      </c>
      <c r="M107" s="41" t="n">
        <f aca="false">IF($A107="","",$K107-$L107)</f>
        <v>4620</v>
      </c>
    </row>
    <row r="108" customFormat="false" ht="15" hidden="false" customHeight="false" outlineLevel="0" collapsed="false">
      <c r="A108" s="37" t="s">
        <v>207</v>
      </c>
      <c r="B108" s="38" t="n">
        <v>45763</v>
      </c>
      <c r="C108" s="37" t="s">
        <v>88</v>
      </c>
      <c r="D108" s="37" t="s">
        <v>111</v>
      </c>
      <c r="E108" s="37" t="s">
        <v>96</v>
      </c>
      <c r="F108" s="39" t="n">
        <v>5</v>
      </c>
      <c r="G108" s="40" t="n">
        <v>0.1</v>
      </c>
      <c r="H108" s="8" t="str">
        <f aca="false">IF($A108="","",IFERROR(INDEX(Products!$B$2:$B$50,MATCH($E108,Products!$A$2:$A$50,0)),"Unmapped"))</f>
        <v>Furniture</v>
      </c>
      <c r="I108" s="41" t="n">
        <f aca="false">IF($A108="","",IFERROR(INDEX(Products!$C$2:$C$50,MATCH($E108,Products!$A$2:$A$50,0)),0))</f>
        <v>4800</v>
      </c>
      <c r="J108" s="41" t="n">
        <f aca="false">IF($A108="","",IFERROR(INDEX(Products!$D$2:$D$50,MATCH($E108,Products!$A$2:$A$50,0)),0))</f>
        <v>3500</v>
      </c>
      <c r="K108" s="41" t="n">
        <f aca="false">IF($A108="","",$F108*$I108*(1-$G108))</f>
        <v>21600</v>
      </c>
      <c r="L108" s="41" t="n">
        <f aca="false">IF($A108="","",$F108*$J108)</f>
        <v>17500</v>
      </c>
      <c r="M108" s="41" t="n">
        <f aca="false">IF($A108="","",$K108-$L108)</f>
        <v>4100</v>
      </c>
    </row>
    <row r="109" customFormat="false" ht="15" hidden="false" customHeight="false" outlineLevel="0" collapsed="false">
      <c r="A109" s="37" t="s">
        <v>208</v>
      </c>
      <c r="B109" s="38" t="n">
        <v>45763</v>
      </c>
      <c r="C109" s="37" t="s">
        <v>78</v>
      </c>
      <c r="D109" s="37" t="s">
        <v>86</v>
      </c>
      <c r="E109" s="37" t="s">
        <v>96</v>
      </c>
      <c r="F109" s="39" t="n">
        <v>12</v>
      </c>
      <c r="G109" s="40" t="n">
        <v>0.05</v>
      </c>
      <c r="H109" s="8" t="str">
        <f aca="false">IF($A109="","",IFERROR(INDEX(Products!$B$2:$B$50,MATCH($E109,Products!$A$2:$A$50,0)),"Unmapped"))</f>
        <v>Furniture</v>
      </c>
      <c r="I109" s="41" t="n">
        <f aca="false">IF($A109="","",IFERROR(INDEX(Products!$C$2:$C$50,MATCH($E109,Products!$A$2:$A$50,0)),0))</f>
        <v>4800</v>
      </c>
      <c r="J109" s="41" t="n">
        <f aca="false">IF($A109="","",IFERROR(INDEX(Products!$D$2:$D$50,MATCH($E109,Products!$A$2:$A$50,0)),0))</f>
        <v>3500</v>
      </c>
      <c r="K109" s="41" t="n">
        <f aca="false">IF($A109="","",$F109*$I109*(1-$G109))</f>
        <v>54720</v>
      </c>
      <c r="L109" s="41" t="n">
        <f aca="false">IF($A109="","",$F109*$J109)</f>
        <v>42000</v>
      </c>
      <c r="M109" s="41" t="n">
        <f aca="false">IF($A109="","",$K109-$L109)</f>
        <v>12720</v>
      </c>
    </row>
    <row r="110" customFormat="false" ht="15" hidden="false" customHeight="false" outlineLevel="0" collapsed="false">
      <c r="A110" s="37" t="s">
        <v>209</v>
      </c>
      <c r="B110" s="38" t="n">
        <v>45765</v>
      </c>
      <c r="C110" s="37" t="s">
        <v>78</v>
      </c>
      <c r="D110" s="37" t="s">
        <v>79</v>
      </c>
      <c r="E110" s="37" t="s">
        <v>134</v>
      </c>
      <c r="F110" s="39" t="n">
        <v>13</v>
      </c>
      <c r="G110" s="40" t="n">
        <v>0.1</v>
      </c>
      <c r="H110" s="8" t="str">
        <f aca="false">IF($A110="","",IFERROR(INDEX(Products!$B$2:$B$50,MATCH($E110,Products!$A$2:$A$50,0)),"Unmapped"))</f>
        <v>Furniture</v>
      </c>
      <c r="I110" s="41" t="n">
        <f aca="false">IF($A110="","",IFERROR(INDEX(Products!$C$2:$C$50,MATCH($E110,Products!$A$2:$A$50,0)),0))</f>
        <v>6100</v>
      </c>
      <c r="J110" s="41" t="n">
        <f aca="false">IF($A110="","",IFERROR(INDEX(Products!$D$2:$D$50,MATCH($E110,Products!$A$2:$A$50,0)),0))</f>
        <v>4500</v>
      </c>
      <c r="K110" s="41" t="n">
        <f aca="false">IF($A110="","",$F110*$I110*(1-$G110))</f>
        <v>71370</v>
      </c>
      <c r="L110" s="41" t="n">
        <f aca="false">IF($A110="","",$F110*$J110)</f>
        <v>58500</v>
      </c>
      <c r="M110" s="41" t="n">
        <f aca="false">IF($A110="","",$K110-$L110)</f>
        <v>12870</v>
      </c>
    </row>
    <row r="111" customFormat="false" ht="15" hidden="false" customHeight="false" outlineLevel="0" collapsed="false">
      <c r="A111" s="37" t="s">
        <v>210</v>
      </c>
      <c r="B111" s="38" t="n">
        <v>45766</v>
      </c>
      <c r="C111" s="37" t="s">
        <v>105</v>
      </c>
      <c r="D111" s="37" t="s">
        <v>116</v>
      </c>
      <c r="E111" s="37" t="s">
        <v>94</v>
      </c>
      <c r="F111" s="39" t="n">
        <v>172</v>
      </c>
      <c r="G111" s="40" t="n">
        <v>0.05</v>
      </c>
      <c r="H111" s="8" t="str">
        <f aca="false">IF($A111="","",IFERROR(INDEX(Products!$B$2:$B$50,MATCH($E111,Products!$A$2:$A$50,0)),"Unmapped"))</f>
        <v>Stationery</v>
      </c>
      <c r="I111" s="41" t="n">
        <f aca="false">IF($A111="","",IFERROR(INDEX(Products!$C$2:$C$50,MATCH($E111,Products!$A$2:$A$50,0)),0))</f>
        <v>280</v>
      </c>
      <c r="J111" s="41" t="n">
        <f aca="false">IF($A111="","",IFERROR(INDEX(Products!$D$2:$D$50,MATCH($E111,Products!$A$2:$A$50,0)),0))</f>
        <v>210</v>
      </c>
      <c r="K111" s="41" t="n">
        <f aca="false">IF($A111="","",$F111*$I111*(1-$G111))</f>
        <v>45752</v>
      </c>
      <c r="L111" s="41" t="n">
        <f aca="false">IF($A111="","",$F111*$J111)</f>
        <v>36120</v>
      </c>
      <c r="M111" s="41" t="n">
        <f aca="false">IF($A111="","",$K111-$L111)</f>
        <v>9632</v>
      </c>
    </row>
    <row r="112" customFormat="false" ht="15" hidden="false" customHeight="false" outlineLevel="0" collapsed="false">
      <c r="A112" s="37" t="s">
        <v>211</v>
      </c>
      <c r="B112" s="38" t="n">
        <v>45766</v>
      </c>
      <c r="C112" s="37" t="s">
        <v>88</v>
      </c>
      <c r="D112" s="37" t="s">
        <v>111</v>
      </c>
      <c r="E112" s="37" t="s">
        <v>96</v>
      </c>
      <c r="F112" s="39" t="n">
        <v>10</v>
      </c>
      <c r="G112" s="40" t="n">
        <v>0.15</v>
      </c>
      <c r="H112" s="8" t="str">
        <f aca="false">IF($A112="","",IFERROR(INDEX(Products!$B$2:$B$50,MATCH($E112,Products!$A$2:$A$50,0)),"Unmapped"))</f>
        <v>Furniture</v>
      </c>
      <c r="I112" s="41" t="n">
        <f aca="false">IF($A112="","",IFERROR(INDEX(Products!$C$2:$C$50,MATCH($E112,Products!$A$2:$A$50,0)),0))</f>
        <v>4800</v>
      </c>
      <c r="J112" s="41" t="n">
        <f aca="false">IF($A112="","",IFERROR(INDEX(Products!$D$2:$D$50,MATCH($E112,Products!$A$2:$A$50,0)),0))</f>
        <v>3500</v>
      </c>
      <c r="K112" s="41" t="n">
        <f aca="false">IF($A112="","",$F112*$I112*(1-$G112))</f>
        <v>40800</v>
      </c>
      <c r="L112" s="41" t="n">
        <f aca="false">IF($A112="","",$F112*$J112)</f>
        <v>35000</v>
      </c>
      <c r="M112" s="41" t="n">
        <f aca="false">IF($A112="","",$K112-$L112)</f>
        <v>5800</v>
      </c>
    </row>
    <row r="113" customFormat="false" ht="15" hidden="false" customHeight="false" outlineLevel="0" collapsed="false">
      <c r="A113" s="37" t="s">
        <v>212</v>
      </c>
      <c r="B113" s="38" t="n">
        <v>45767</v>
      </c>
      <c r="C113" s="37" t="s">
        <v>78</v>
      </c>
      <c r="D113" s="37" t="s">
        <v>79</v>
      </c>
      <c r="E113" s="37" t="s">
        <v>96</v>
      </c>
      <c r="F113" s="39" t="n">
        <v>1</v>
      </c>
      <c r="G113" s="40" t="n">
        <v>0</v>
      </c>
      <c r="H113" s="8" t="str">
        <f aca="false">IF($A113="","",IFERROR(INDEX(Products!$B$2:$B$50,MATCH($E113,Products!$A$2:$A$50,0)),"Unmapped"))</f>
        <v>Furniture</v>
      </c>
      <c r="I113" s="41" t="n">
        <f aca="false">IF($A113="","",IFERROR(INDEX(Products!$C$2:$C$50,MATCH($E113,Products!$A$2:$A$50,0)),0))</f>
        <v>4800</v>
      </c>
      <c r="J113" s="41" t="n">
        <f aca="false">IF($A113="","",IFERROR(INDEX(Products!$D$2:$D$50,MATCH($E113,Products!$A$2:$A$50,0)),0))</f>
        <v>3500</v>
      </c>
      <c r="K113" s="41" t="n">
        <f aca="false">IF($A113="","",$F113*$I113*(1-$G113))</f>
        <v>4800</v>
      </c>
      <c r="L113" s="41" t="n">
        <f aca="false">IF($A113="","",$F113*$J113)</f>
        <v>3500</v>
      </c>
      <c r="M113" s="41" t="n">
        <f aca="false">IF($A113="","",$K113-$L113)</f>
        <v>1300</v>
      </c>
    </row>
    <row r="114" customFormat="false" ht="15" hidden="false" customHeight="false" outlineLevel="0" collapsed="false">
      <c r="A114" s="37" t="s">
        <v>213</v>
      </c>
      <c r="B114" s="38" t="n">
        <v>45767</v>
      </c>
      <c r="C114" s="37" t="s">
        <v>78</v>
      </c>
      <c r="D114" s="37" t="s">
        <v>79</v>
      </c>
      <c r="E114" s="37" t="s">
        <v>103</v>
      </c>
      <c r="F114" s="39" t="n">
        <v>29</v>
      </c>
      <c r="G114" s="40" t="n">
        <v>0</v>
      </c>
      <c r="H114" s="8" t="str">
        <f aca="false">IF($A114="","",IFERROR(INDEX(Products!$B$2:$B$50,MATCH($E114,Products!$A$2:$A$50,0)),"Unmapped"))</f>
        <v>Electronics</v>
      </c>
      <c r="I114" s="41" t="n">
        <f aca="false">IF($A114="","",IFERROR(INDEX(Products!$C$2:$C$50,MATCH($E114,Products!$A$2:$A$50,0)),0))</f>
        <v>900</v>
      </c>
      <c r="J114" s="41" t="n">
        <f aca="false">IF($A114="","",IFERROR(INDEX(Products!$D$2:$D$50,MATCH($E114,Products!$A$2:$A$50,0)),0))</f>
        <v>620</v>
      </c>
      <c r="K114" s="41" t="n">
        <f aca="false">IF($A114="","",$F114*$I114*(1-$G114))</f>
        <v>26100</v>
      </c>
      <c r="L114" s="41" t="n">
        <f aca="false">IF($A114="","",$F114*$J114)</f>
        <v>17980</v>
      </c>
      <c r="M114" s="41" t="n">
        <f aca="false">IF($A114="","",$K114-$L114)</f>
        <v>8120</v>
      </c>
    </row>
    <row r="115" customFormat="false" ht="15" hidden="false" customHeight="false" outlineLevel="0" collapsed="false">
      <c r="A115" s="37" t="s">
        <v>214</v>
      </c>
      <c r="B115" s="38" t="n">
        <v>45767</v>
      </c>
      <c r="C115" s="37" t="s">
        <v>88</v>
      </c>
      <c r="D115" s="37" t="s">
        <v>89</v>
      </c>
      <c r="E115" s="37" t="s">
        <v>114</v>
      </c>
      <c r="F115" s="39" t="n">
        <v>40</v>
      </c>
      <c r="G115" s="40" t="n">
        <v>0</v>
      </c>
      <c r="H115" s="8" t="str">
        <f aca="false">IF($A115="","",IFERROR(INDEX(Products!$B$2:$B$50,MATCH($E115,Products!$A$2:$A$50,0)),"Unmapped"))</f>
        <v>Pantry</v>
      </c>
      <c r="I115" s="41" t="n">
        <f aca="false">IF($A115="","",IFERROR(INDEX(Products!$C$2:$C$50,MATCH($E115,Products!$A$2:$A$50,0)),0))</f>
        <v>1500</v>
      </c>
      <c r="J115" s="41" t="n">
        <f aca="false">IF($A115="","",IFERROR(INDEX(Products!$D$2:$D$50,MATCH($E115,Products!$A$2:$A$50,0)),0))</f>
        <v>1100</v>
      </c>
      <c r="K115" s="41" t="n">
        <f aca="false">IF($A115="","",$F115*$I115*(1-$G115))</f>
        <v>60000</v>
      </c>
      <c r="L115" s="41" t="n">
        <f aca="false">IF($A115="","",$F115*$J115)</f>
        <v>44000</v>
      </c>
      <c r="M115" s="41" t="n">
        <f aca="false">IF($A115="","",$K115-$L115)</f>
        <v>16000</v>
      </c>
    </row>
    <row r="116" customFormat="false" ht="15" hidden="false" customHeight="false" outlineLevel="0" collapsed="false">
      <c r="A116" s="37" t="s">
        <v>215</v>
      </c>
      <c r="B116" s="38" t="n">
        <v>45768</v>
      </c>
      <c r="C116" s="37" t="s">
        <v>88</v>
      </c>
      <c r="D116" s="37" t="s">
        <v>111</v>
      </c>
      <c r="E116" s="37" t="s">
        <v>103</v>
      </c>
      <c r="F116" s="39" t="n">
        <v>9</v>
      </c>
      <c r="G116" s="40" t="n">
        <v>0</v>
      </c>
      <c r="H116" s="8" t="str">
        <f aca="false">IF($A116="","",IFERROR(INDEX(Products!$B$2:$B$50,MATCH($E116,Products!$A$2:$A$50,0)),"Unmapped"))</f>
        <v>Electronics</v>
      </c>
      <c r="I116" s="41" t="n">
        <f aca="false">IF($A116="","",IFERROR(INDEX(Products!$C$2:$C$50,MATCH($E116,Products!$A$2:$A$50,0)),0))</f>
        <v>900</v>
      </c>
      <c r="J116" s="41" t="n">
        <f aca="false">IF($A116="","",IFERROR(INDEX(Products!$D$2:$D$50,MATCH($E116,Products!$A$2:$A$50,0)),0))</f>
        <v>620</v>
      </c>
      <c r="K116" s="41" t="n">
        <f aca="false">IF($A116="","",$F116*$I116*(1-$G116))</f>
        <v>8100</v>
      </c>
      <c r="L116" s="41" t="n">
        <f aca="false">IF($A116="","",$F116*$J116)</f>
        <v>5580</v>
      </c>
      <c r="M116" s="41" t="n">
        <f aca="false">IF($A116="","",$K116-$L116)</f>
        <v>2520</v>
      </c>
    </row>
    <row r="117" customFormat="false" ht="15" hidden="false" customHeight="false" outlineLevel="0" collapsed="false">
      <c r="A117" s="37" t="s">
        <v>216</v>
      </c>
      <c r="B117" s="38" t="n">
        <v>45769</v>
      </c>
      <c r="C117" s="37" t="s">
        <v>82</v>
      </c>
      <c r="D117" s="37" t="s">
        <v>93</v>
      </c>
      <c r="E117" s="37" t="s">
        <v>134</v>
      </c>
      <c r="F117" s="39" t="n">
        <v>6</v>
      </c>
      <c r="G117" s="40" t="n">
        <v>0.05</v>
      </c>
      <c r="H117" s="8" t="str">
        <f aca="false">IF($A117="","",IFERROR(INDEX(Products!$B$2:$B$50,MATCH($E117,Products!$A$2:$A$50,0)),"Unmapped"))</f>
        <v>Furniture</v>
      </c>
      <c r="I117" s="41" t="n">
        <f aca="false">IF($A117="","",IFERROR(INDEX(Products!$C$2:$C$50,MATCH($E117,Products!$A$2:$A$50,0)),0))</f>
        <v>6100</v>
      </c>
      <c r="J117" s="41" t="n">
        <f aca="false">IF($A117="","",IFERROR(INDEX(Products!$D$2:$D$50,MATCH($E117,Products!$A$2:$A$50,0)),0))</f>
        <v>4500</v>
      </c>
      <c r="K117" s="41" t="n">
        <f aca="false">IF($A117="","",$F117*$I117*(1-$G117))</f>
        <v>34770</v>
      </c>
      <c r="L117" s="41" t="n">
        <f aca="false">IF($A117="","",$F117*$J117)</f>
        <v>27000</v>
      </c>
      <c r="M117" s="41" t="n">
        <f aca="false">IF($A117="","",$K117-$L117)</f>
        <v>7770</v>
      </c>
    </row>
    <row r="118" customFormat="false" ht="15" hidden="false" customHeight="false" outlineLevel="0" collapsed="false">
      <c r="A118" s="37" t="s">
        <v>217</v>
      </c>
      <c r="B118" s="38" t="n">
        <v>45769</v>
      </c>
      <c r="C118" s="37" t="s">
        <v>82</v>
      </c>
      <c r="D118" s="37" t="s">
        <v>93</v>
      </c>
      <c r="E118" s="37" t="s">
        <v>84</v>
      </c>
      <c r="F118" s="39" t="n">
        <v>75</v>
      </c>
      <c r="G118" s="40" t="n">
        <v>0.1</v>
      </c>
      <c r="H118" s="8" t="str">
        <f aca="false">IF($A118="","",IFERROR(INDEX(Products!$B$2:$B$50,MATCH($E118,Products!$A$2:$A$50,0)),"Unmapped"))</f>
        <v>Stationery</v>
      </c>
      <c r="I118" s="41" t="n">
        <f aca="false">IF($A118="","",IFERROR(INDEX(Products!$C$2:$C$50,MATCH($E118,Products!$A$2:$A$50,0)),0))</f>
        <v>350</v>
      </c>
      <c r="J118" s="41" t="n">
        <f aca="false">IF($A118="","",IFERROR(INDEX(Products!$D$2:$D$50,MATCH($E118,Products!$A$2:$A$50,0)),0))</f>
        <v>240</v>
      </c>
      <c r="K118" s="41" t="n">
        <f aca="false">IF($A118="","",$F118*$I118*(1-$G118))</f>
        <v>23625</v>
      </c>
      <c r="L118" s="41" t="n">
        <f aca="false">IF($A118="","",$F118*$J118)</f>
        <v>18000</v>
      </c>
      <c r="M118" s="41" t="n">
        <f aca="false">IF($A118="","",$K118-$L118)</f>
        <v>5625</v>
      </c>
    </row>
    <row r="119" customFormat="false" ht="15" hidden="false" customHeight="false" outlineLevel="0" collapsed="false">
      <c r="A119" s="37" t="s">
        <v>218</v>
      </c>
      <c r="B119" s="38" t="n">
        <v>45770</v>
      </c>
      <c r="C119" s="37" t="s">
        <v>78</v>
      </c>
      <c r="D119" s="37" t="s">
        <v>86</v>
      </c>
      <c r="E119" s="37" t="s">
        <v>94</v>
      </c>
      <c r="F119" s="39" t="n">
        <v>124</v>
      </c>
      <c r="G119" s="40" t="n">
        <v>0</v>
      </c>
      <c r="H119" s="8" t="str">
        <f aca="false">IF($A119="","",IFERROR(INDEX(Products!$B$2:$B$50,MATCH($E119,Products!$A$2:$A$50,0)),"Unmapped"))</f>
        <v>Stationery</v>
      </c>
      <c r="I119" s="41" t="n">
        <f aca="false">IF($A119="","",IFERROR(INDEX(Products!$C$2:$C$50,MATCH($E119,Products!$A$2:$A$50,0)),0))</f>
        <v>280</v>
      </c>
      <c r="J119" s="41" t="n">
        <f aca="false">IF($A119="","",IFERROR(INDEX(Products!$D$2:$D$50,MATCH($E119,Products!$A$2:$A$50,0)),0))</f>
        <v>210</v>
      </c>
      <c r="K119" s="41" t="n">
        <f aca="false">IF($A119="","",$F119*$I119*(1-$G119))</f>
        <v>34720</v>
      </c>
      <c r="L119" s="41" t="n">
        <f aca="false">IF($A119="","",$F119*$J119)</f>
        <v>26040</v>
      </c>
      <c r="M119" s="41" t="n">
        <f aca="false">IF($A119="","",$K119-$L119)</f>
        <v>8680</v>
      </c>
    </row>
    <row r="120" customFormat="false" ht="15" hidden="false" customHeight="false" outlineLevel="0" collapsed="false">
      <c r="A120" s="37" t="s">
        <v>219</v>
      </c>
      <c r="B120" s="38" t="n">
        <v>45770</v>
      </c>
      <c r="C120" s="37" t="s">
        <v>78</v>
      </c>
      <c r="D120" s="37" t="s">
        <v>86</v>
      </c>
      <c r="E120" s="37" t="s">
        <v>121</v>
      </c>
      <c r="F120" s="39" t="n">
        <v>29</v>
      </c>
      <c r="G120" s="40" t="n">
        <v>0.05</v>
      </c>
      <c r="H120" s="8" t="str">
        <f aca="false">IF($A120="","",IFERROR(INDEX(Products!$B$2:$B$50,MATCH($E120,Products!$A$2:$A$50,0)),"Unmapped"))</f>
        <v>Electronics</v>
      </c>
      <c r="I120" s="41" t="n">
        <f aca="false">IF($A120="","",IFERROR(INDEX(Products!$C$2:$C$50,MATCH($E120,Products!$A$2:$A$50,0)),0))</f>
        <v>650</v>
      </c>
      <c r="J120" s="41" t="n">
        <f aca="false">IF($A120="","",IFERROR(INDEX(Products!$D$2:$D$50,MATCH($E120,Products!$A$2:$A$50,0)),0))</f>
        <v>430</v>
      </c>
      <c r="K120" s="41" t="n">
        <f aca="false">IF($A120="","",$F120*$I120*(1-$G120))</f>
        <v>17907.5</v>
      </c>
      <c r="L120" s="41" t="n">
        <f aca="false">IF($A120="","",$F120*$J120)</f>
        <v>12470</v>
      </c>
      <c r="M120" s="41" t="n">
        <f aca="false">IF($A120="","",$K120-$L120)</f>
        <v>5437.5</v>
      </c>
    </row>
    <row r="121" customFormat="false" ht="15" hidden="false" customHeight="false" outlineLevel="0" collapsed="false">
      <c r="A121" s="37" t="s">
        <v>220</v>
      </c>
      <c r="B121" s="38" t="n">
        <v>45772</v>
      </c>
      <c r="C121" s="37" t="s">
        <v>88</v>
      </c>
      <c r="D121" s="37" t="s">
        <v>89</v>
      </c>
      <c r="E121" s="37" t="s">
        <v>84</v>
      </c>
      <c r="F121" s="39" t="n">
        <v>32</v>
      </c>
      <c r="G121" s="40" t="n">
        <v>0.1</v>
      </c>
      <c r="H121" s="8" t="str">
        <f aca="false">IF($A121="","",IFERROR(INDEX(Products!$B$2:$B$50,MATCH($E121,Products!$A$2:$A$50,0)),"Unmapped"))</f>
        <v>Stationery</v>
      </c>
      <c r="I121" s="41" t="n">
        <f aca="false">IF($A121="","",IFERROR(INDEX(Products!$C$2:$C$50,MATCH($E121,Products!$A$2:$A$50,0)),0))</f>
        <v>350</v>
      </c>
      <c r="J121" s="41" t="n">
        <f aca="false">IF($A121="","",IFERROR(INDEX(Products!$D$2:$D$50,MATCH($E121,Products!$A$2:$A$50,0)),0))</f>
        <v>240</v>
      </c>
      <c r="K121" s="41" t="n">
        <f aca="false">IF($A121="","",$F121*$I121*(1-$G121))</f>
        <v>10080</v>
      </c>
      <c r="L121" s="41" t="n">
        <f aca="false">IF($A121="","",$F121*$J121)</f>
        <v>7680</v>
      </c>
      <c r="M121" s="41" t="n">
        <f aca="false">IF($A121="","",$K121-$L121)</f>
        <v>2400</v>
      </c>
    </row>
    <row r="122" customFormat="false" ht="15" hidden="false" customHeight="false" outlineLevel="0" collapsed="false">
      <c r="A122" s="37" t="s">
        <v>221</v>
      </c>
      <c r="B122" s="38" t="n">
        <v>45773</v>
      </c>
      <c r="C122" s="37" t="s">
        <v>88</v>
      </c>
      <c r="D122" s="37" t="s">
        <v>89</v>
      </c>
      <c r="E122" s="37" t="s">
        <v>84</v>
      </c>
      <c r="F122" s="39" t="n">
        <v>162</v>
      </c>
      <c r="G122" s="40" t="n">
        <v>0.05</v>
      </c>
      <c r="H122" s="8" t="str">
        <f aca="false">IF($A122="","",IFERROR(INDEX(Products!$B$2:$B$50,MATCH($E122,Products!$A$2:$A$50,0)),"Unmapped"))</f>
        <v>Stationery</v>
      </c>
      <c r="I122" s="41" t="n">
        <f aca="false">IF($A122="","",IFERROR(INDEX(Products!$C$2:$C$50,MATCH($E122,Products!$A$2:$A$50,0)),0))</f>
        <v>350</v>
      </c>
      <c r="J122" s="41" t="n">
        <f aca="false">IF($A122="","",IFERROR(INDEX(Products!$D$2:$D$50,MATCH($E122,Products!$A$2:$A$50,0)),0))</f>
        <v>240</v>
      </c>
      <c r="K122" s="41" t="n">
        <f aca="false">IF($A122="","",$F122*$I122*(1-$G122))</f>
        <v>53865</v>
      </c>
      <c r="L122" s="41" t="n">
        <f aca="false">IF($A122="","",$F122*$J122)</f>
        <v>38880</v>
      </c>
      <c r="M122" s="41" t="n">
        <f aca="false">IF($A122="","",$K122-$L122)</f>
        <v>14985</v>
      </c>
    </row>
    <row r="123" customFormat="false" ht="15" hidden="false" customHeight="false" outlineLevel="0" collapsed="false">
      <c r="A123" s="37" t="s">
        <v>222</v>
      </c>
      <c r="B123" s="38" t="n">
        <v>45773</v>
      </c>
      <c r="C123" s="37" t="s">
        <v>78</v>
      </c>
      <c r="D123" s="37" t="s">
        <v>79</v>
      </c>
      <c r="E123" s="37" t="s">
        <v>114</v>
      </c>
      <c r="F123" s="39" t="n">
        <v>22</v>
      </c>
      <c r="G123" s="40" t="n">
        <v>0.05</v>
      </c>
      <c r="H123" s="8" t="str">
        <f aca="false">IF($A123="","",IFERROR(INDEX(Products!$B$2:$B$50,MATCH($E123,Products!$A$2:$A$50,0)),"Unmapped"))</f>
        <v>Pantry</v>
      </c>
      <c r="I123" s="41" t="n">
        <f aca="false">IF($A123="","",IFERROR(INDEX(Products!$C$2:$C$50,MATCH($E123,Products!$A$2:$A$50,0)),0))</f>
        <v>1500</v>
      </c>
      <c r="J123" s="41" t="n">
        <f aca="false">IF($A123="","",IFERROR(INDEX(Products!$D$2:$D$50,MATCH($E123,Products!$A$2:$A$50,0)),0))</f>
        <v>1100</v>
      </c>
      <c r="K123" s="41" t="n">
        <f aca="false">IF($A123="","",$F123*$I123*(1-$G123))</f>
        <v>31350</v>
      </c>
      <c r="L123" s="41" t="n">
        <f aca="false">IF($A123="","",$F123*$J123)</f>
        <v>24200</v>
      </c>
      <c r="M123" s="41" t="n">
        <f aca="false">IF($A123="","",$K123-$L123)</f>
        <v>7150</v>
      </c>
    </row>
    <row r="124" customFormat="false" ht="15" hidden="false" customHeight="false" outlineLevel="0" collapsed="false">
      <c r="A124" s="37" t="s">
        <v>223</v>
      </c>
      <c r="B124" s="38" t="n">
        <v>45774</v>
      </c>
      <c r="C124" s="37" t="s">
        <v>88</v>
      </c>
      <c r="D124" s="37" t="s">
        <v>111</v>
      </c>
      <c r="E124" s="37" t="s">
        <v>134</v>
      </c>
      <c r="F124" s="39" t="n">
        <v>14</v>
      </c>
      <c r="G124" s="40" t="n">
        <v>0.1</v>
      </c>
      <c r="H124" s="8" t="str">
        <f aca="false">IF($A124="","",IFERROR(INDEX(Products!$B$2:$B$50,MATCH($E124,Products!$A$2:$A$50,0)),"Unmapped"))</f>
        <v>Furniture</v>
      </c>
      <c r="I124" s="41" t="n">
        <f aca="false">IF($A124="","",IFERROR(INDEX(Products!$C$2:$C$50,MATCH($E124,Products!$A$2:$A$50,0)),0))</f>
        <v>6100</v>
      </c>
      <c r="J124" s="41" t="n">
        <f aca="false">IF($A124="","",IFERROR(INDEX(Products!$D$2:$D$50,MATCH($E124,Products!$A$2:$A$50,0)),0))</f>
        <v>4500</v>
      </c>
      <c r="K124" s="41" t="n">
        <f aca="false">IF($A124="","",$F124*$I124*(1-$G124))</f>
        <v>76860</v>
      </c>
      <c r="L124" s="41" t="n">
        <f aca="false">IF($A124="","",$F124*$J124)</f>
        <v>63000</v>
      </c>
      <c r="M124" s="41" t="n">
        <f aca="false">IF($A124="","",$K124-$L124)</f>
        <v>13860</v>
      </c>
    </row>
    <row r="125" customFormat="false" ht="15" hidden="false" customHeight="false" outlineLevel="0" collapsed="false">
      <c r="A125" s="37" t="s">
        <v>224</v>
      </c>
      <c r="B125" s="38" t="n">
        <v>45774</v>
      </c>
      <c r="C125" s="37" t="s">
        <v>105</v>
      </c>
      <c r="D125" s="37" t="s">
        <v>116</v>
      </c>
      <c r="E125" s="37" t="s">
        <v>84</v>
      </c>
      <c r="F125" s="39" t="n">
        <v>55</v>
      </c>
      <c r="G125" s="40" t="n">
        <v>0.1</v>
      </c>
      <c r="H125" s="8" t="str">
        <f aca="false">IF($A125="","",IFERROR(INDEX(Products!$B$2:$B$50,MATCH($E125,Products!$A$2:$A$50,0)),"Unmapped"))</f>
        <v>Stationery</v>
      </c>
      <c r="I125" s="41" t="n">
        <f aca="false">IF($A125="","",IFERROR(INDEX(Products!$C$2:$C$50,MATCH($E125,Products!$A$2:$A$50,0)),0))</f>
        <v>350</v>
      </c>
      <c r="J125" s="41" t="n">
        <f aca="false">IF($A125="","",IFERROR(INDEX(Products!$D$2:$D$50,MATCH($E125,Products!$A$2:$A$50,0)),0))</f>
        <v>240</v>
      </c>
      <c r="K125" s="41" t="n">
        <f aca="false">IF($A125="","",$F125*$I125*(1-$G125))</f>
        <v>17325</v>
      </c>
      <c r="L125" s="41" t="n">
        <f aca="false">IF($A125="","",$F125*$J125)</f>
        <v>13200</v>
      </c>
      <c r="M125" s="41" t="n">
        <f aca="false">IF($A125="","",$K125-$L125)</f>
        <v>4125</v>
      </c>
    </row>
    <row r="126" customFormat="false" ht="15" hidden="false" customHeight="false" outlineLevel="0" collapsed="false">
      <c r="A126" s="37" t="s">
        <v>225</v>
      </c>
      <c r="B126" s="38" t="n">
        <v>45775</v>
      </c>
      <c r="C126" s="37" t="s">
        <v>78</v>
      </c>
      <c r="D126" s="37" t="s">
        <v>86</v>
      </c>
      <c r="E126" s="37" t="s">
        <v>90</v>
      </c>
      <c r="F126" s="39" t="n">
        <v>135</v>
      </c>
      <c r="G126" s="40" t="n">
        <v>0</v>
      </c>
      <c r="H126" s="8" t="str">
        <f aca="false">IF($A126="","",IFERROR(INDEX(Products!$B$2:$B$50,MATCH($E126,Products!$A$2:$A$50,0)),"Unmapped"))</f>
        <v>Stationery</v>
      </c>
      <c r="I126" s="41" t="n">
        <f aca="false">IF($A126="","",IFERROR(INDEX(Products!$C$2:$C$50,MATCH($E126,Products!$A$2:$A$50,0)),0))</f>
        <v>120</v>
      </c>
      <c r="J126" s="41" t="n">
        <f aca="false">IF($A126="","",IFERROR(INDEX(Products!$D$2:$D$50,MATCH($E126,Products!$A$2:$A$50,0)),0))</f>
        <v>80</v>
      </c>
      <c r="K126" s="41" t="n">
        <f aca="false">IF($A126="","",$F126*$I126*(1-$G126))</f>
        <v>16200</v>
      </c>
      <c r="L126" s="41" t="n">
        <f aca="false">IF($A126="","",$F126*$J126)</f>
        <v>10800</v>
      </c>
      <c r="M126" s="41" t="n">
        <f aca="false">IF($A126="","",$K126-$L126)</f>
        <v>5400</v>
      </c>
    </row>
    <row r="127" customFormat="false" ht="15" hidden="false" customHeight="false" outlineLevel="0" collapsed="false">
      <c r="A127" s="37" t="s">
        <v>226</v>
      </c>
      <c r="B127" s="38" t="n">
        <v>45779</v>
      </c>
      <c r="C127" s="37" t="s">
        <v>82</v>
      </c>
      <c r="D127" s="37" t="s">
        <v>83</v>
      </c>
      <c r="E127" s="37" t="s">
        <v>94</v>
      </c>
      <c r="F127" s="39" t="n">
        <v>150</v>
      </c>
      <c r="G127" s="40" t="n">
        <v>0</v>
      </c>
      <c r="H127" s="8" t="str">
        <f aca="false">IF($A127="","",IFERROR(INDEX(Products!$B$2:$B$50,MATCH($E127,Products!$A$2:$A$50,0)),"Unmapped"))</f>
        <v>Stationery</v>
      </c>
      <c r="I127" s="41" t="n">
        <f aca="false">IF($A127="","",IFERROR(INDEX(Products!$C$2:$C$50,MATCH($E127,Products!$A$2:$A$50,0)),0))</f>
        <v>280</v>
      </c>
      <c r="J127" s="41" t="n">
        <f aca="false">IF($A127="","",IFERROR(INDEX(Products!$D$2:$D$50,MATCH($E127,Products!$A$2:$A$50,0)),0))</f>
        <v>210</v>
      </c>
      <c r="K127" s="41" t="n">
        <f aca="false">IF($A127="","",$F127*$I127*(1-$G127))</f>
        <v>42000</v>
      </c>
      <c r="L127" s="41" t="n">
        <f aca="false">IF($A127="","",$F127*$J127)</f>
        <v>31500</v>
      </c>
      <c r="M127" s="41" t="n">
        <f aca="false">IF($A127="","",$K127-$L127)</f>
        <v>10500</v>
      </c>
    </row>
    <row r="128" customFormat="false" ht="15" hidden="false" customHeight="false" outlineLevel="0" collapsed="false">
      <c r="A128" s="37" t="s">
        <v>227</v>
      </c>
      <c r="B128" s="38" t="n">
        <v>45781</v>
      </c>
      <c r="C128" s="37" t="s">
        <v>88</v>
      </c>
      <c r="D128" s="37" t="s">
        <v>89</v>
      </c>
      <c r="E128" s="37" t="s">
        <v>114</v>
      </c>
      <c r="F128" s="39" t="n">
        <v>33</v>
      </c>
      <c r="G128" s="40" t="n">
        <v>0.1</v>
      </c>
      <c r="H128" s="8" t="str">
        <f aca="false">IF($A128="","",IFERROR(INDEX(Products!$B$2:$B$50,MATCH($E128,Products!$A$2:$A$50,0)),"Unmapped"))</f>
        <v>Pantry</v>
      </c>
      <c r="I128" s="41" t="n">
        <f aca="false">IF($A128="","",IFERROR(INDEX(Products!$C$2:$C$50,MATCH($E128,Products!$A$2:$A$50,0)),0))</f>
        <v>1500</v>
      </c>
      <c r="J128" s="41" t="n">
        <f aca="false">IF($A128="","",IFERROR(INDEX(Products!$D$2:$D$50,MATCH($E128,Products!$A$2:$A$50,0)),0))</f>
        <v>1100</v>
      </c>
      <c r="K128" s="41" t="n">
        <f aca="false">IF($A128="","",$F128*$I128*(1-$G128))</f>
        <v>44550</v>
      </c>
      <c r="L128" s="41" t="n">
        <f aca="false">IF($A128="","",$F128*$J128)</f>
        <v>36300</v>
      </c>
      <c r="M128" s="41" t="n">
        <f aca="false">IF($A128="","",$K128-$L128)</f>
        <v>8250</v>
      </c>
    </row>
    <row r="129" customFormat="false" ht="15" hidden="false" customHeight="false" outlineLevel="0" collapsed="false">
      <c r="A129" s="37" t="s">
        <v>228</v>
      </c>
      <c r="B129" s="38" t="n">
        <v>45782</v>
      </c>
      <c r="C129" s="37" t="s">
        <v>88</v>
      </c>
      <c r="D129" s="37" t="s">
        <v>111</v>
      </c>
      <c r="E129" s="37" t="s">
        <v>90</v>
      </c>
      <c r="F129" s="39" t="n">
        <v>57</v>
      </c>
      <c r="G129" s="40" t="n">
        <v>0.15</v>
      </c>
      <c r="H129" s="8" t="str">
        <f aca="false">IF($A129="","",IFERROR(INDEX(Products!$B$2:$B$50,MATCH($E129,Products!$A$2:$A$50,0)),"Unmapped"))</f>
        <v>Stationery</v>
      </c>
      <c r="I129" s="41" t="n">
        <f aca="false">IF($A129="","",IFERROR(INDEX(Products!$C$2:$C$50,MATCH($E129,Products!$A$2:$A$50,0)),0))</f>
        <v>120</v>
      </c>
      <c r="J129" s="41" t="n">
        <f aca="false">IF($A129="","",IFERROR(INDEX(Products!$D$2:$D$50,MATCH($E129,Products!$A$2:$A$50,0)),0))</f>
        <v>80</v>
      </c>
      <c r="K129" s="41" t="n">
        <f aca="false">IF($A129="","",$F129*$I129*(1-$G129))</f>
        <v>5814</v>
      </c>
      <c r="L129" s="41" t="n">
        <f aca="false">IF($A129="","",$F129*$J129)</f>
        <v>4560</v>
      </c>
      <c r="M129" s="41" t="n">
        <f aca="false">IF($A129="","",$K129-$L129)</f>
        <v>1254</v>
      </c>
    </row>
    <row r="130" customFormat="false" ht="15" hidden="false" customHeight="false" outlineLevel="0" collapsed="false">
      <c r="A130" s="37" t="s">
        <v>229</v>
      </c>
      <c r="B130" s="38" t="n">
        <v>45782</v>
      </c>
      <c r="C130" s="37" t="s">
        <v>88</v>
      </c>
      <c r="D130" s="37" t="s">
        <v>111</v>
      </c>
      <c r="E130" s="37" t="s">
        <v>121</v>
      </c>
      <c r="F130" s="39" t="n">
        <v>15</v>
      </c>
      <c r="G130" s="40" t="n">
        <v>0.05</v>
      </c>
      <c r="H130" s="8" t="str">
        <f aca="false">IF($A130="","",IFERROR(INDEX(Products!$B$2:$B$50,MATCH($E130,Products!$A$2:$A$50,0)),"Unmapped"))</f>
        <v>Electronics</v>
      </c>
      <c r="I130" s="41" t="n">
        <f aca="false">IF($A130="","",IFERROR(INDEX(Products!$C$2:$C$50,MATCH($E130,Products!$A$2:$A$50,0)),0))</f>
        <v>650</v>
      </c>
      <c r="J130" s="41" t="n">
        <f aca="false">IF($A130="","",IFERROR(INDEX(Products!$D$2:$D$50,MATCH($E130,Products!$A$2:$A$50,0)),0))</f>
        <v>430</v>
      </c>
      <c r="K130" s="41" t="n">
        <f aca="false">IF($A130="","",$F130*$I130*(1-$G130))</f>
        <v>9262.5</v>
      </c>
      <c r="L130" s="41" t="n">
        <f aca="false">IF($A130="","",$F130*$J130)</f>
        <v>6450</v>
      </c>
      <c r="M130" s="41" t="n">
        <f aca="false">IF($A130="","",$K130-$L130)</f>
        <v>2812.5</v>
      </c>
    </row>
    <row r="131" customFormat="false" ht="15" hidden="false" customHeight="false" outlineLevel="0" collapsed="false">
      <c r="A131" s="37" t="s">
        <v>230</v>
      </c>
      <c r="B131" s="38" t="n">
        <v>45783</v>
      </c>
      <c r="C131" s="37" t="s">
        <v>82</v>
      </c>
      <c r="D131" s="37" t="s">
        <v>93</v>
      </c>
      <c r="E131" s="37" t="s">
        <v>134</v>
      </c>
      <c r="F131" s="39" t="n">
        <v>11</v>
      </c>
      <c r="G131" s="40" t="n">
        <v>0.1</v>
      </c>
      <c r="H131" s="8" t="str">
        <f aca="false">IF($A131="","",IFERROR(INDEX(Products!$B$2:$B$50,MATCH($E131,Products!$A$2:$A$50,0)),"Unmapped"))</f>
        <v>Furniture</v>
      </c>
      <c r="I131" s="41" t="n">
        <f aca="false">IF($A131="","",IFERROR(INDEX(Products!$C$2:$C$50,MATCH($E131,Products!$A$2:$A$50,0)),0))</f>
        <v>6100</v>
      </c>
      <c r="J131" s="41" t="n">
        <f aca="false">IF($A131="","",IFERROR(INDEX(Products!$D$2:$D$50,MATCH($E131,Products!$A$2:$A$50,0)),0))</f>
        <v>4500</v>
      </c>
      <c r="K131" s="41" t="n">
        <f aca="false">IF($A131="","",$F131*$I131*(1-$G131))</f>
        <v>60390</v>
      </c>
      <c r="L131" s="41" t="n">
        <f aca="false">IF($A131="","",$F131*$J131)</f>
        <v>49500</v>
      </c>
      <c r="M131" s="41" t="n">
        <f aca="false">IF($A131="","",$K131-$L131)</f>
        <v>10890</v>
      </c>
    </row>
    <row r="132" customFormat="false" ht="15" hidden="false" customHeight="false" outlineLevel="0" collapsed="false">
      <c r="A132" s="37" t="s">
        <v>231</v>
      </c>
      <c r="B132" s="38" t="n">
        <v>45784</v>
      </c>
      <c r="C132" s="37" t="s">
        <v>88</v>
      </c>
      <c r="D132" s="37" t="s">
        <v>111</v>
      </c>
      <c r="E132" s="37" t="s">
        <v>121</v>
      </c>
      <c r="F132" s="39" t="n">
        <v>29</v>
      </c>
      <c r="G132" s="40" t="n">
        <v>0</v>
      </c>
      <c r="H132" s="8" t="str">
        <f aca="false">IF($A132="","",IFERROR(INDEX(Products!$B$2:$B$50,MATCH($E132,Products!$A$2:$A$50,0)),"Unmapped"))</f>
        <v>Electronics</v>
      </c>
      <c r="I132" s="41" t="n">
        <f aca="false">IF($A132="","",IFERROR(INDEX(Products!$C$2:$C$50,MATCH($E132,Products!$A$2:$A$50,0)),0))</f>
        <v>650</v>
      </c>
      <c r="J132" s="41" t="n">
        <f aca="false">IF($A132="","",IFERROR(INDEX(Products!$D$2:$D$50,MATCH($E132,Products!$A$2:$A$50,0)),0))</f>
        <v>430</v>
      </c>
      <c r="K132" s="41" t="n">
        <f aca="false">IF($A132="","",$F132*$I132*(1-$G132))</f>
        <v>18850</v>
      </c>
      <c r="L132" s="41" t="n">
        <f aca="false">IF($A132="","",$F132*$J132)</f>
        <v>12470</v>
      </c>
      <c r="M132" s="41" t="n">
        <f aca="false">IF($A132="","",$K132-$L132)</f>
        <v>6380</v>
      </c>
    </row>
    <row r="133" customFormat="false" ht="15" hidden="false" customHeight="false" outlineLevel="0" collapsed="false">
      <c r="A133" s="37" t="s">
        <v>232</v>
      </c>
      <c r="B133" s="38" t="n">
        <v>45785</v>
      </c>
      <c r="C133" s="37" t="s">
        <v>78</v>
      </c>
      <c r="D133" s="37" t="s">
        <v>86</v>
      </c>
      <c r="E133" s="37" t="s">
        <v>84</v>
      </c>
      <c r="F133" s="39" t="n">
        <v>56</v>
      </c>
      <c r="G133" s="40" t="n">
        <v>0.05</v>
      </c>
      <c r="H133" s="8" t="str">
        <f aca="false">IF($A133="","",IFERROR(INDEX(Products!$B$2:$B$50,MATCH($E133,Products!$A$2:$A$50,0)),"Unmapped"))</f>
        <v>Stationery</v>
      </c>
      <c r="I133" s="41" t="n">
        <f aca="false">IF($A133="","",IFERROR(INDEX(Products!$C$2:$C$50,MATCH($E133,Products!$A$2:$A$50,0)),0))</f>
        <v>350</v>
      </c>
      <c r="J133" s="41" t="n">
        <f aca="false">IF($A133="","",IFERROR(INDEX(Products!$D$2:$D$50,MATCH($E133,Products!$A$2:$A$50,0)),0))</f>
        <v>240</v>
      </c>
      <c r="K133" s="41" t="n">
        <f aca="false">IF($A133="","",$F133*$I133*(1-$G133))</f>
        <v>18620</v>
      </c>
      <c r="L133" s="41" t="n">
        <f aca="false">IF($A133="","",$F133*$J133)</f>
        <v>13440</v>
      </c>
      <c r="M133" s="41" t="n">
        <f aca="false">IF($A133="","",$K133-$L133)</f>
        <v>5180</v>
      </c>
    </row>
    <row r="134" customFormat="false" ht="15" hidden="false" customHeight="false" outlineLevel="0" collapsed="false">
      <c r="A134" s="37" t="s">
        <v>233</v>
      </c>
      <c r="B134" s="38" t="n">
        <v>45786</v>
      </c>
      <c r="C134" s="37" t="s">
        <v>82</v>
      </c>
      <c r="D134" s="37" t="s">
        <v>93</v>
      </c>
      <c r="E134" s="37" t="s">
        <v>96</v>
      </c>
      <c r="F134" s="39" t="n">
        <v>15</v>
      </c>
      <c r="G134" s="40" t="n">
        <v>0.1</v>
      </c>
      <c r="H134" s="8" t="str">
        <f aca="false">IF($A134="","",IFERROR(INDEX(Products!$B$2:$B$50,MATCH($E134,Products!$A$2:$A$50,0)),"Unmapped"))</f>
        <v>Furniture</v>
      </c>
      <c r="I134" s="41" t="n">
        <f aca="false">IF($A134="","",IFERROR(INDEX(Products!$C$2:$C$50,MATCH($E134,Products!$A$2:$A$50,0)),0))</f>
        <v>4800</v>
      </c>
      <c r="J134" s="41" t="n">
        <f aca="false">IF($A134="","",IFERROR(INDEX(Products!$D$2:$D$50,MATCH($E134,Products!$A$2:$A$50,0)),0))</f>
        <v>3500</v>
      </c>
      <c r="K134" s="41" t="n">
        <f aca="false">IF($A134="","",$F134*$I134*(1-$G134))</f>
        <v>64800</v>
      </c>
      <c r="L134" s="41" t="n">
        <f aca="false">IF($A134="","",$F134*$J134)</f>
        <v>52500</v>
      </c>
      <c r="M134" s="41" t="n">
        <f aca="false">IF($A134="","",$K134-$L134)</f>
        <v>12300</v>
      </c>
    </row>
    <row r="135" customFormat="false" ht="15" hidden="false" customHeight="false" outlineLevel="0" collapsed="false">
      <c r="A135" s="37" t="s">
        <v>234</v>
      </c>
      <c r="B135" s="38" t="n">
        <v>45787</v>
      </c>
      <c r="C135" s="37" t="s">
        <v>78</v>
      </c>
      <c r="D135" s="37" t="s">
        <v>79</v>
      </c>
      <c r="E135" s="37" t="s">
        <v>90</v>
      </c>
      <c r="F135" s="39" t="n">
        <v>133</v>
      </c>
      <c r="G135" s="40" t="n">
        <v>0</v>
      </c>
      <c r="H135" s="8" t="str">
        <f aca="false">IF($A135="","",IFERROR(INDEX(Products!$B$2:$B$50,MATCH($E135,Products!$A$2:$A$50,0)),"Unmapped"))</f>
        <v>Stationery</v>
      </c>
      <c r="I135" s="41" t="n">
        <f aca="false">IF($A135="","",IFERROR(INDEX(Products!$C$2:$C$50,MATCH($E135,Products!$A$2:$A$50,0)),0))</f>
        <v>120</v>
      </c>
      <c r="J135" s="41" t="n">
        <f aca="false">IF($A135="","",IFERROR(INDEX(Products!$D$2:$D$50,MATCH($E135,Products!$A$2:$A$50,0)),0))</f>
        <v>80</v>
      </c>
      <c r="K135" s="41" t="n">
        <f aca="false">IF($A135="","",$F135*$I135*(1-$G135))</f>
        <v>15960</v>
      </c>
      <c r="L135" s="41" t="n">
        <f aca="false">IF($A135="","",$F135*$J135)</f>
        <v>10640</v>
      </c>
      <c r="M135" s="41" t="n">
        <f aca="false">IF($A135="","",$K135-$L135)</f>
        <v>5320</v>
      </c>
    </row>
    <row r="136" customFormat="false" ht="15" hidden="false" customHeight="false" outlineLevel="0" collapsed="false">
      <c r="A136" s="37" t="s">
        <v>235</v>
      </c>
      <c r="B136" s="38" t="n">
        <v>45787</v>
      </c>
      <c r="C136" s="37" t="s">
        <v>78</v>
      </c>
      <c r="D136" s="37" t="s">
        <v>79</v>
      </c>
      <c r="E136" s="37" t="s">
        <v>103</v>
      </c>
      <c r="F136" s="39" t="n">
        <v>24</v>
      </c>
      <c r="G136" s="40" t="n">
        <v>0</v>
      </c>
      <c r="H136" s="8" t="str">
        <f aca="false">IF($A136="","",IFERROR(INDEX(Products!$B$2:$B$50,MATCH($E136,Products!$A$2:$A$50,0)),"Unmapped"))</f>
        <v>Electronics</v>
      </c>
      <c r="I136" s="41" t="n">
        <f aca="false">IF($A136="","",IFERROR(INDEX(Products!$C$2:$C$50,MATCH($E136,Products!$A$2:$A$50,0)),0))</f>
        <v>900</v>
      </c>
      <c r="J136" s="41" t="n">
        <f aca="false">IF($A136="","",IFERROR(INDEX(Products!$D$2:$D$50,MATCH($E136,Products!$A$2:$A$50,0)),0))</f>
        <v>620</v>
      </c>
      <c r="K136" s="41" t="n">
        <f aca="false">IF($A136="","",$F136*$I136*(1-$G136))</f>
        <v>21600</v>
      </c>
      <c r="L136" s="41" t="n">
        <f aca="false">IF($A136="","",$F136*$J136)</f>
        <v>14880</v>
      </c>
      <c r="M136" s="41" t="n">
        <f aca="false">IF($A136="","",$K136-$L136)</f>
        <v>6720</v>
      </c>
    </row>
    <row r="137" customFormat="false" ht="15" hidden="false" customHeight="false" outlineLevel="0" collapsed="false">
      <c r="A137" s="37" t="s">
        <v>236</v>
      </c>
      <c r="B137" s="38" t="n">
        <v>45788</v>
      </c>
      <c r="C137" s="37" t="s">
        <v>82</v>
      </c>
      <c r="D137" s="37" t="s">
        <v>83</v>
      </c>
      <c r="E137" s="37" t="s">
        <v>157</v>
      </c>
      <c r="F137" s="39" t="n">
        <v>20</v>
      </c>
      <c r="G137" s="40" t="n">
        <v>0.05</v>
      </c>
      <c r="H137" s="8" t="str">
        <f aca="false">IF($A137="","",IFERROR(INDEX(Products!$B$2:$B$50,MATCH($E137,Products!$A$2:$A$50,0)),"Unmapped"))</f>
        <v>Electronics</v>
      </c>
      <c r="I137" s="41" t="n">
        <f aca="false">IF($A137="","",IFERROR(INDEX(Products!$C$2:$C$50,MATCH($E137,Products!$A$2:$A$50,0)),0))</f>
        <v>8900</v>
      </c>
      <c r="J137" s="41" t="n">
        <f aca="false">IF($A137="","",IFERROR(INDEX(Products!$D$2:$D$50,MATCH($E137,Products!$A$2:$A$50,0)),0))</f>
        <v>7000</v>
      </c>
      <c r="K137" s="41" t="n">
        <f aca="false">IF($A137="","",$F137*$I137*(1-$G137))</f>
        <v>169100</v>
      </c>
      <c r="L137" s="41" t="n">
        <f aca="false">IF($A137="","",$F137*$J137)</f>
        <v>140000</v>
      </c>
      <c r="M137" s="41" t="n">
        <f aca="false">IF($A137="","",$K137-$L137)</f>
        <v>29100</v>
      </c>
    </row>
    <row r="138" customFormat="false" ht="15" hidden="false" customHeight="false" outlineLevel="0" collapsed="false">
      <c r="A138" s="37" t="s">
        <v>237</v>
      </c>
      <c r="B138" s="38" t="n">
        <v>45790</v>
      </c>
      <c r="C138" s="37" t="s">
        <v>78</v>
      </c>
      <c r="D138" s="37" t="s">
        <v>79</v>
      </c>
      <c r="E138" s="37" t="s">
        <v>90</v>
      </c>
      <c r="F138" s="39" t="n">
        <v>178</v>
      </c>
      <c r="G138" s="40" t="n">
        <v>0.05</v>
      </c>
      <c r="H138" s="8" t="str">
        <f aca="false">IF($A138="","",IFERROR(INDEX(Products!$B$2:$B$50,MATCH($E138,Products!$A$2:$A$50,0)),"Unmapped"))</f>
        <v>Stationery</v>
      </c>
      <c r="I138" s="41" t="n">
        <f aca="false">IF($A138="","",IFERROR(INDEX(Products!$C$2:$C$50,MATCH($E138,Products!$A$2:$A$50,0)),0))</f>
        <v>120</v>
      </c>
      <c r="J138" s="41" t="n">
        <f aca="false">IF($A138="","",IFERROR(INDEX(Products!$D$2:$D$50,MATCH($E138,Products!$A$2:$A$50,0)),0))</f>
        <v>80</v>
      </c>
      <c r="K138" s="41" t="n">
        <f aca="false">IF($A138="","",$F138*$I138*(1-$G138))</f>
        <v>20292</v>
      </c>
      <c r="L138" s="41" t="n">
        <f aca="false">IF($A138="","",$F138*$J138)</f>
        <v>14240</v>
      </c>
      <c r="M138" s="41" t="n">
        <f aca="false">IF($A138="","",$K138-$L138)</f>
        <v>6052</v>
      </c>
    </row>
    <row r="139" customFormat="false" ht="15" hidden="false" customHeight="false" outlineLevel="0" collapsed="false">
      <c r="A139" s="37" t="s">
        <v>238</v>
      </c>
      <c r="B139" s="38" t="n">
        <v>45791</v>
      </c>
      <c r="C139" s="37" t="s">
        <v>82</v>
      </c>
      <c r="D139" s="37" t="s">
        <v>83</v>
      </c>
      <c r="E139" s="37" t="s">
        <v>121</v>
      </c>
      <c r="F139" s="39" t="n">
        <v>22</v>
      </c>
      <c r="G139" s="40" t="n">
        <v>0</v>
      </c>
      <c r="H139" s="8" t="str">
        <f aca="false">IF($A139="","",IFERROR(INDEX(Products!$B$2:$B$50,MATCH($E139,Products!$A$2:$A$50,0)),"Unmapped"))</f>
        <v>Electronics</v>
      </c>
      <c r="I139" s="41" t="n">
        <f aca="false">IF($A139="","",IFERROR(INDEX(Products!$C$2:$C$50,MATCH($E139,Products!$A$2:$A$50,0)),0))</f>
        <v>650</v>
      </c>
      <c r="J139" s="41" t="n">
        <f aca="false">IF($A139="","",IFERROR(INDEX(Products!$D$2:$D$50,MATCH($E139,Products!$A$2:$A$50,0)),0))</f>
        <v>430</v>
      </c>
      <c r="K139" s="41" t="n">
        <f aca="false">IF($A139="","",$F139*$I139*(1-$G139))</f>
        <v>14300</v>
      </c>
      <c r="L139" s="41" t="n">
        <f aca="false">IF($A139="","",$F139*$J139)</f>
        <v>9460</v>
      </c>
      <c r="M139" s="41" t="n">
        <f aca="false">IF($A139="","",$K139-$L139)</f>
        <v>4840</v>
      </c>
    </row>
    <row r="140" customFormat="false" ht="15" hidden="false" customHeight="false" outlineLevel="0" collapsed="false">
      <c r="A140" s="37" t="s">
        <v>239</v>
      </c>
      <c r="B140" s="38" t="n">
        <v>45791</v>
      </c>
      <c r="C140" s="37" t="s">
        <v>78</v>
      </c>
      <c r="D140" s="37" t="s">
        <v>86</v>
      </c>
      <c r="E140" s="37" t="s">
        <v>103</v>
      </c>
      <c r="F140" s="39" t="n">
        <v>30</v>
      </c>
      <c r="G140" s="40" t="n">
        <v>0.15</v>
      </c>
      <c r="H140" s="8" t="str">
        <f aca="false">IF($A140="","",IFERROR(INDEX(Products!$B$2:$B$50,MATCH($E140,Products!$A$2:$A$50,0)),"Unmapped"))</f>
        <v>Electronics</v>
      </c>
      <c r="I140" s="41" t="n">
        <f aca="false">IF($A140="","",IFERROR(INDEX(Products!$C$2:$C$50,MATCH($E140,Products!$A$2:$A$50,0)),0))</f>
        <v>900</v>
      </c>
      <c r="J140" s="41" t="n">
        <f aca="false">IF($A140="","",IFERROR(INDEX(Products!$D$2:$D$50,MATCH($E140,Products!$A$2:$A$50,0)),0))</f>
        <v>620</v>
      </c>
      <c r="K140" s="41" t="n">
        <f aca="false">IF($A140="","",$F140*$I140*(1-$G140))</f>
        <v>22950</v>
      </c>
      <c r="L140" s="41" t="n">
        <f aca="false">IF($A140="","",$F140*$J140)</f>
        <v>18600</v>
      </c>
      <c r="M140" s="41" t="n">
        <f aca="false">IF($A140="","",$K140-$L140)</f>
        <v>4350</v>
      </c>
    </row>
    <row r="141" customFormat="false" ht="15" hidden="false" customHeight="false" outlineLevel="0" collapsed="false">
      <c r="A141" s="37" t="s">
        <v>240</v>
      </c>
      <c r="B141" s="38" t="n">
        <v>45791</v>
      </c>
      <c r="C141" s="37" t="s">
        <v>105</v>
      </c>
      <c r="D141" s="37" t="s">
        <v>116</v>
      </c>
      <c r="E141" s="37" t="s">
        <v>94</v>
      </c>
      <c r="F141" s="39" t="n">
        <v>91</v>
      </c>
      <c r="G141" s="40" t="n">
        <v>0</v>
      </c>
      <c r="H141" s="8" t="str">
        <f aca="false">IF($A141="","",IFERROR(INDEX(Products!$B$2:$B$50,MATCH($E141,Products!$A$2:$A$50,0)),"Unmapped"))</f>
        <v>Stationery</v>
      </c>
      <c r="I141" s="41" t="n">
        <f aca="false">IF($A141="","",IFERROR(INDEX(Products!$C$2:$C$50,MATCH($E141,Products!$A$2:$A$50,0)),0))</f>
        <v>280</v>
      </c>
      <c r="J141" s="41" t="n">
        <f aca="false">IF($A141="","",IFERROR(INDEX(Products!$D$2:$D$50,MATCH($E141,Products!$A$2:$A$50,0)),0))</f>
        <v>210</v>
      </c>
      <c r="K141" s="41" t="n">
        <f aca="false">IF($A141="","",$F141*$I141*(1-$G141))</f>
        <v>25480</v>
      </c>
      <c r="L141" s="41" t="n">
        <f aca="false">IF($A141="","",$F141*$J141)</f>
        <v>19110</v>
      </c>
      <c r="M141" s="41" t="n">
        <f aca="false">IF($A141="","",$K141-$L141)</f>
        <v>6370</v>
      </c>
    </row>
    <row r="142" customFormat="false" ht="15" hidden="false" customHeight="false" outlineLevel="0" collapsed="false">
      <c r="A142" s="37" t="s">
        <v>241</v>
      </c>
      <c r="B142" s="38" t="n">
        <v>45792</v>
      </c>
      <c r="C142" s="37" t="s">
        <v>82</v>
      </c>
      <c r="D142" s="37" t="s">
        <v>83</v>
      </c>
      <c r="E142" s="37" t="s">
        <v>84</v>
      </c>
      <c r="F142" s="39" t="n">
        <v>100</v>
      </c>
      <c r="G142" s="40" t="n">
        <v>0.05</v>
      </c>
      <c r="H142" s="8" t="str">
        <f aca="false">IF($A142="","",IFERROR(INDEX(Products!$B$2:$B$50,MATCH($E142,Products!$A$2:$A$50,0)),"Unmapped"))</f>
        <v>Stationery</v>
      </c>
      <c r="I142" s="41" t="n">
        <f aca="false">IF($A142="","",IFERROR(INDEX(Products!$C$2:$C$50,MATCH($E142,Products!$A$2:$A$50,0)),0))</f>
        <v>350</v>
      </c>
      <c r="J142" s="41" t="n">
        <f aca="false">IF($A142="","",IFERROR(INDEX(Products!$D$2:$D$50,MATCH($E142,Products!$A$2:$A$50,0)),0))</f>
        <v>240</v>
      </c>
      <c r="K142" s="41" t="n">
        <f aca="false">IF($A142="","",$F142*$I142*(1-$G142))</f>
        <v>33250</v>
      </c>
      <c r="L142" s="41" t="n">
        <f aca="false">IF($A142="","",$F142*$J142)</f>
        <v>24000</v>
      </c>
      <c r="M142" s="41" t="n">
        <f aca="false">IF($A142="","",$K142-$L142)</f>
        <v>9250</v>
      </c>
    </row>
    <row r="143" customFormat="false" ht="15" hidden="false" customHeight="false" outlineLevel="0" collapsed="false">
      <c r="A143" s="37" t="s">
        <v>242</v>
      </c>
      <c r="B143" s="38" t="n">
        <v>45792</v>
      </c>
      <c r="C143" s="37" t="s">
        <v>82</v>
      </c>
      <c r="D143" s="37" t="s">
        <v>93</v>
      </c>
      <c r="E143" s="37" t="s">
        <v>84</v>
      </c>
      <c r="F143" s="39" t="n">
        <v>112</v>
      </c>
      <c r="G143" s="40" t="n">
        <v>0.05</v>
      </c>
      <c r="H143" s="8" t="str">
        <f aca="false">IF($A143="","",IFERROR(INDEX(Products!$B$2:$B$50,MATCH($E143,Products!$A$2:$A$50,0)),"Unmapped"))</f>
        <v>Stationery</v>
      </c>
      <c r="I143" s="41" t="n">
        <f aca="false">IF($A143="","",IFERROR(INDEX(Products!$C$2:$C$50,MATCH($E143,Products!$A$2:$A$50,0)),0))</f>
        <v>350</v>
      </c>
      <c r="J143" s="41" t="n">
        <f aca="false">IF($A143="","",IFERROR(INDEX(Products!$D$2:$D$50,MATCH($E143,Products!$A$2:$A$50,0)),0))</f>
        <v>240</v>
      </c>
      <c r="K143" s="41" t="n">
        <f aca="false">IF($A143="","",$F143*$I143*(1-$G143))</f>
        <v>37240</v>
      </c>
      <c r="L143" s="41" t="n">
        <f aca="false">IF($A143="","",$F143*$J143)</f>
        <v>26880</v>
      </c>
      <c r="M143" s="41" t="n">
        <f aca="false">IF($A143="","",$K143-$L143)</f>
        <v>10360</v>
      </c>
    </row>
    <row r="144" customFormat="false" ht="15" hidden="false" customHeight="false" outlineLevel="0" collapsed="false">
      <c r="A144" s="37" t="s">
        <v>243</v>
      </c>
      <c r="B144" s="38" t="n">
        <v>45793</v>
      </c>
      <c r="C144" s="37" t="s">
        <v>78</v>
      </c>
      <c r="D144" s="37" t="s">
        <v>86</v>
      </c>
      <c r="E144" s="37" t="s">
        <v>121</v>
      </c>
      <c r="F144" s="39" t="n">
        <v>30</v>
      </c>
      <c r="G144" s="40" t="n">
        <v>0.05</v>
      </c>
      <c r="H144" s="8" t="str">
        <f aca="false">IF($A144="","",IFERROR(INDEX(Products!$B$2:$B$50,MATCH($E144,Products!$A$2:$A$50,0)),"Unmapped"))</f>
        <v>Electronics</v>
      </c>
      <c r="I144" s="41" t="n">
        <f aca="false">IF($A144="","",IFERROR(INDEX(Products!$C$2:$C$50,MATCH($E144,Products!$A$2:$A$50,0)),0))</f>
        <v>650</v>
      </c>
      <c r="J144" s="41" t="n">
        <f aca="false">IF($A144="","",IFERROR(INDEX(Products!$D$2:$D$50,MATCH($E144,Products!$A$2:$A$50,0)),0))</f>
        <v>430</v>
      </c>
      <c r="K144" s="41" t="n">
        <f aca="false">IF($A144="","",$F144*$I144*(1-$G144))</f>
        <v>18525</v>
      </c>
      <c r="L144" s="41" t="n">
        <f aca="false">IF($A144="","",$F144*$J144)</f>
        <v>12900</v>
      </c>
      <c r="M144" s="41" t="n">
        <f aca="false">IF($A144="","",$K144-$L144)</f>
        <v>5625</v>
      </c>
    </row>
    <row r="145" customFormat="false" ht="15" hidden="false" customHeight="false" outlineLevel="0" collapsed="false">
      <c r="A145" s="37" t="s">
        <v>244</v>
      </c>
      <c r="B145" s="38" t="n">
        <v>45795</v>
      </c>
      <c r="C145" s="37" t="s">
        <v>88</v>
      </c>
      <c r="D145" s="37" t="s">
        <v>89</v>
      </c>
      <c r="E145" s="37" t="s">
        <v>96</v>
      </c>
      <c r="F145" s="39" t="n">
        <v>6</v>
      </c>
      <c r="G145" s="40" t="n">
        <v>0.1</v>
      </c>
      <c r="H145" s="8" t="str">
        <f aca="false">IF($A145="","",IFERROR(INDEX(Products!$B$2:$B$50,MATCH($E145,Products!$A$2:$A$50,0)),"Unmapped"))</f>
        <v>Furniture</v>
      </c>
      <c r="I145" s="41" t="n">
        <f aca="false">IF($A145="","",IFERROR(INDEX(Products!$C$2:$C$50,MATCH($E145,Products!$A$2:$A$50,0)),0))</f>
        <v>4800</v>
      </c>
      <c r="J145" s="41" t="n">
        <f aca="false">IF($A145="","",IFERROR(INDEX(Products!$D$2:$D$50,MATCH($E145,Products!$A$2:$A$50,0)),0))</f>
        <v>3500</v>
      </c>
      <c r="K145" s="41" t="n">
        <f aca="false">IF($A145="","",$F145*$I145*(1-$G145))</f>
        <v>25920</v>
      </c>
      <c r="L145" s="41" t="n">
        <f aca="false">IF($A145="","",$F145*$J145)</f>
        <v>21000</v>
      </c>
      <c r="M145" s="41" t="n">
        <f aca="false">IF($A145="","",$K145-$L145)</f>
        <v>4920</v>
      </c>
    </row>
    <row r="146" customFormat="false" ht="15" hidden="false" customHeight="false" outlineLevel="0" collapsed="false">
      <c r="A146" s="37" t="s">
        <v>245</v>
      </c>
      <c r="B146" s="38" t="n">
        <v>45797</v>
      </c>
      <c r="C146" s="37" t="s">
        <v>78</v>
      </c>
      <c r="D146" s="37" t="s">
        <v>86</v>
      </c>
      <c r="E146" s="37" t="s">
        <v>114</v>
      </c>
      <c r="F146" s="39" t="n">
        <v>18</v>
      </c>
      <c r="G146" s="40" t="n">
        <v>0.05</v>
      </c>
      <c r="H146" s="8" t="str">
        <f aca="false">IF($A146="","",IFERROR(INDEX(Products!$B$2:$B$50,MATCH($E146,Products!$A$2:$A$50,0)),"Unmapped"))</f>
        <v>Pantry</v>
      </c>
      <c r="I146" s="41" t="n">
        <f aca="false">IF($A146="","",IFERROR(INDEX(Products!$C$2:$C$50,MATCH($E146,Products!$A$2:$A$50,0)),0))</f>
        <v>1500</v>
      </c>
      <c r="J146" s="41" t="n">
        <f aca="false">IF($A146="","",IFERROR(INDEX(Products!$D$2:$D$50,MATCH($E146,Products!$A$2:$A$50,0)),0))</f>
        <v>1100</v>
      </c>
      <c r="K146" s="41" t="n">
        <f aca="false">IF($A146="","",$F146*$I146*(1-$G146))</f>
        <v>25650</v>
      </c>
      <c r="L146" s="41" t="n">
        <f aca="false">IF($A146="","",$F146*$J146)</f>
        <v>19800</v>
      </c>
      <c r="M146" s="41" t="n">
        <f aca="false">IF($A146="","",$K146-$L146)</f>
        <v>5850</v>
      </c>
    </row>
    <row r="147" customFormat="false" ht="15" hidden="false" customHeight="false" outlineLevel="0" collapsed="false">
      <c r="A147" s="37" t="s">
        <v>246</v>
      </c>
      <c r="B147" s="38" t="n">
        <v>45797</v>
      </c>
      <c r="C147" s="37" t="s">
        <v>82</v>
      </c>
      <c r="D147" s="37" t="s">
        <v>93</v>
      </c>
      <c r="E147" s="37" t="s">
        <v>96</v>
      </c>
      <c r="F147" s="39" t="n">
        <v>7</v>
      </c>
      <c r="G147" s="40" t="n">
        <v>0.1</v>
      </c>
      <c r="H147" s="8" t="str">
        <f aca="false">IF($A147="","",IFERROR(INDEX(Products!$B$2:$B$50,MATCH($E147,Products!$A$2:$A$50,0)),"Unmapped"))</f>
        <v>Furniture</v>
      </c>
      <c r="I147" s="41" t="n">
        <f aca="false">IF($A147="","",IFERROR(INDEX(Products!$C$2:$C$50,MATCH($E147,Products!$A$2:$A$50,0)),0))</f>
        <v>4800</v>
      </c>
      <c r="J147" s="41" t="n">
        <f aca="false">IF($A147="","",IFERROR(INDEX(Products!$D$2:$D$50,MATCH($E147,Products!$A$2:$A$50,0)),0))</f>
        <v>3500</v>
      </c>
      <c r="K147" s="41" t="n">
        <f aca="false">IF($A147="","",$F147*$I147*(1-$G147))</f>
        <v>30240</v>
      </c>
      <c r="L147" s="41" t="n">
        <f aca="false">IF($A147="","",$F147*$J147)</f>
        <v>24500</v>
      </c>
      <c r="M147" s="41" t="n">
        <f aca="false">IF($A147="","",$K147-$L147)</f>
        <v>5740</v>
      </c>
    </row>
    <row r="148" customFormat="false" ht="15" hidden="false" customHeight="false" outlineLevel="0" collapsed="false">
      <c r="A148" s="37" t="s">
        <v>247</v>
      </c>
      <c r="B148" s="38" t="n">
        <v>45798</v>
      </c>
      <c r="C148" s="37" t="s">
        <v>88</v>
      </c>
      <c r="D148" s="37" t="s">
        <v>89</v>
      </c>
      <c r="E148" s="37" t="s">
        <v>134</v>
      </c>
      <c r="F148" s="39" t="n">
        <v>12</v>
      </c>
      <c r="G148" s="40" t="n">
        <v>0</v>
      </c>
      <c r="H148" s="8" t="str">
        <f aca="false">IF($A148="","",IFERROR(INDEX(Products!$B$2:$B$50,MATCH($E148,Products!$A$2:$A$50,0)),"Unmapped"))</f>
        <v>Furniture</v>
      </c>
      <c r="I148" s="41" t="n">
        <f aca="false">IF($A148="","",IFERROR(INDEX(Products!$C$2:$C$50,MATCH($E148,Products!$A$2:$A$50,0)),0))</f>
        <v>6100</v>
      </c>
      <c r="J148" s="41" t="n">
        <f aca="false">IF($A148="","",IFERROR(INDEX(Products!$D$2:$D$50,MATCH($E148,Products!$A$2:$A$50,0)),0))</f>
        <v>4500</v>
      </c>
      <c r="K148" s="41" t="n">
        <f aca="false">IF($A148="","",$F148*$I148*(1-$G148))</f>
        <v>73200</v>
      </c>
      <c r="L148" s="41" t="n">
        <f aca="false">IF($A148="","",$F148*$J148)</f>
        <v>54000</v>
      </c>
      <c r="M148" s="41" t="n">
        <f aca="false">IF($A148="","",$K148-$L148)</f>
        <v>19200</v>
      </c>
    </row>
    <row r="149" customFormat="false" ht="15" hidden="false" customHeight="false" outlineLevel="0" collapsed="false">
      <c r="A149" s="37" t="s">
        <v>248</v>
      </c>
      <c r="B149" s="38" t="n">
        <v>45798</v>
      </c>
      <c r="C149" s="37" t="s">
        <v>105</v>
      </c>
      <c r="D149" s="37" t="s">
        <v>106</v>
      </c>
      <c r="E149" s="37" t="s">
        <v>84</v>
      </c>
      <c r="F149" s="39" t="n">
        <v>73</v>
      </c>
      <c r="G149" s="40" t="n">
        <v>0.05</v>
      </c>
      <c r="H149" s="8" t="str">
        <f aca="false">IF($A149="","",IFERROR(INDEX(Products!$B$2:$B$50,MATCH($E149,Products!$A$2:$A$50,0)),"Unmapped"))</f>
        <v>Stationery</v>
      </c>
      <c r="I149" s="41" t="n">
        <f aca="false">IF($A149="","",IFERROR(INDEX(Products!$C$2:$C$50,MATCH($E149,Products!$A$2:$A$50,0)),0))</f>
        <v>350</v>
      </c>
      <c r="J149" s="41" t="n">
        <f aca="false">IF($A149="","",IFERROR(INDEX(Products!$D$2:$D$50,MATCH($E149,Products!$A$2:$A$50,0)),0))</f>
        <v>240</v>
      </c>
      <c r="K149" s="41" t="n">
        <f aca="false">IF($A149="","",$F149*$I149*(1-$G149))</f>
        <v>24272.5</v>
      </c>
      <c r="L149" s="41" t="n">
        <f aca="false">IF($A149="","",$F149*$J149)</f>
        <v>17520</v>
      </c>
      <c r="M149" s="41" t="n">
        <f aca="false">IF($A149="","",$K149-$L149)</f>
        <v>6752.5</v>
      </c>
    </row>
    <row r="150" customFormat="false" ht="15" hidden="false" customHeight="false" outlineLevel="0" collapsed="false">
      <c r="A150" s="37" t="s">
        <v>249</v>
      </c>
      <c r="B150" s="38" t="n">
        <v>45798</v>
      </c>
      <c r="C150" s="37" t="s">
        <v>88</v>
      </c>
      <c r="D150" s="37" t="s">
        <v>89</v>
      </c>
      <c r="E150" s="37" t="s">
        <v>114</v>
      </c>
      <c r="F150" s="39" t="n">
        <v>26</v>
      </c>
      <c r="G150" s="40" t="n">
        <v>0.15</v>
      </c>
      <c r="H150" s="8" t="str">
        <f aca="false">IF($A150="","",IFERROR(INDEX(Products!$B$2:$B$50,MATCH($E150,Products!$A$2:$A$50,0)),"Unmapped"))</f>
        <v>Pantry</v>
      </c>
      <c r="I150" s="41" t="n">
        <f aca="false">IF($A150="","",IFERROR(INDEX(Products!$C$2:$C$50,MATCH($E150,Products!$A$2:$A$50,0)),0))</f>
        <v>1500</v>
      </c>
      <c r="J150" s="41" t="n">
        <f aca="false">IF($A150="","",IFERROR(INDEX(Products!$D$2:$D$50,MATCH($E150,Products!$A$2:$A$50,0)),0))</f>
        <v>1100</v>
      </c>
      <c r="K150" s="41" t="n">
        <f aca="false">IF($A150="","",$F150*$I150*(1-$G150))</f>
        <v>33150</v>
      </c>
      <c r="L150" s="41" t="n">
        <f aca="false">IF($A150="","",$F150*$J150)</f>
        <v>28600</v>
      </c>
      <c r="M150" s="41" t="n">
        <f aca="false">IF($A150="","",$K150-$L150)</f>
        <v>4550</v>
      </c>
    </row>
    <row r="151" customFormat="false" ht="15" hidden="false" customHeight="false" outlineLevel="0" collapsed="false">
      <c r="A151" s="37" t="s">
        <v>250</v>
      </c>
      <c r="B151" s="38" t="n">
        <v>45801</v>
      </c>
      <c r="C151" s="37" t="s">
        <v>88</v>
      </c>
      <c r="D151" s="37" t="s">
        <v>111</v>
      </c>
      <c r="E151" s="37" t="s">
        <v>94</v>
      </c>
      <c r="F151" s="39" t="n">
        <v>55</v>
      </c>
      <c r="G151" s="40" t="n">
        <v>0.1</v>
      </c>
      <c r="H151" s="8" t="str">
        <f aca="false">IF($A151="","",IFERROR(INDEX(Products!$B$2:$B$50,MATCH($E151,Products!$A$2:$A$50,0)),"Unmapped"))</f>
        <v>Stationery</v>
      </c>
      <c r="I151" s="41" t="n">
        <f aca="false">IF($A151="","",IFERROR(INDEX(Products!$C$2:$C$50,MATCH($E151,Products!$A$2:$A$50,0)),0))</f>
        <v>280</v>
      </c>
      <c r="J151" s="41" t="n">
        <f aca="false">IF($A151="","",IFERROR(INDEX(Products!$D$2:$D$50,MATCH($E151,Products!$A$2:$A$50,0)),0))</f>
        <v>210</v>
      </c>
      <c r="K151" s="41" t="n">
        <f aca="false">IF($A151="","",$F151*$I151*(1-$G151))</f>
        <v>13860</v>
      </c>
      <c r="L151" s="41" t="n">
        <f aca="false">IF($A151="","",$F151*$J151)</f>
        <v>11550</v>
      </c>
      <c r="M151" s="41" t="n">
        <f aca="false">IF($A151="","",$K151-$L151)</f>
        <v>2310</v>
      </c>
    </row>
    <row r="152" customFormat="false" ht="15" hidden="false" customHeight="false" outlineLevel="0" collapsed="false">
      <c r="A152" s="37" t="s">
        <v>251</v>
      </c>
      <c r="B152" s="38" t="n">
        <v>45804</v>
      </c>
      <c r="C152" s="37" t="s">
        <v>78</v>
      </c>
      <c r="D152" s="37" t="s">
        <v>79</v>
      </c>
      <c r="E152" s="37" t="s">
        <v>94</v>
      </c>
      <c r="F152" s="39" t="n">
        <v>192</v>
      </c>
      <c r="G152" s="40" t="n">
        <v>0.15</v>
      </c>
      <c r="H152" s="8" t="str">
        <f aca="false">IF($A152="","",IFERROR(INDEX(Products!$B$2:$B$50,MATCH($E152,Products!$A$2:$A$50,0)),"Unmapped"))</f>
        <v>Stationery</v>
      </c>
      <c r="I152" s="41" t="n">
        <f aca="false">IF($A152="","",IFERROR(INDEX(Products!$C$2:$C$50,MATCH($E152,Products!$A$2:$A$50,0)),0))</f>
        <v>280</v>
      </c>
      <c r="J152" s="41" t="n">
        <f aca="false">IF($A152="","",IFERROR(INDEX(Products!$D$2:$D$50,MATCH($E152,Products!$A$2:$A$50,0)),0))</f>
        <v>210</v>
      </c>
      <c r="K152" s="41" t="n">
        <f aca="false">IF($A152="","",$F152*$I152*(1-$G152))</f>
        <v>45696</v>
      </c>
      <c r="L152" s="41" t="n">
        <f aca="false">IF($A152="","",$F152*$J152)</f>
        <v>40320</v>
      </c>
      <c r="M152" s="41" t="n">
        <f aca="false">IF($A152="","",$K152-$L152)</f>
        <v>5376</v>
      </c>
    </row>
    <row r="153" customFormat="false" ht="15" hidden="false" customHeight="false" outlineLevel="0" collapsed="false">
      <c r="A153" s="37" t="s">
        <v>252</v>
      </c>
      <c r="B153" s="38" t="n">
        <v>45805</v>
      </c>
      <c r="C153" s="37" t="s">
        <v>78</v>
      </c>
      <c r="D153" s="37" t="s">
        <v>86</v>
      </c>
      <c r="E153" s="37" t="s">
        <v>96</v>
      </c>
      <c r="F153" s="39" t="n">
        <v>2</v>
      </c>
      <c r="G153" s="40" t="n">
        <v>0</v>
      </c>
      <c r="H153" s="8" t="str">
        <f aca="false">IF($A153="","",IFERROR(INDEX(Products!$B$2:$B$50,MATCH($E153,Products!$A$2:$A$50,0)),"Unmapped"))</f>
        <v>Furniture</v>
      </c>
      <c r="I153" s="41" t="n">
        <f aca="false">IF($A153="","",IFERROR(INDEX(Products!$C$2:$C$50,MATCH($E153,Products!$A$2:$A$50,0)),0))</f>
        <v>4800</v>
      </c>
      <c r="J153" s="41" t="n">
        <f aca="false">IF($A153="","",IFERROR(INDEX(Products!$D$2:$D$50,MATCH($E153,Products!$A$2:$A$50,0)),0))</f>
        <v>3500</v>
      </c>
      <c r="K153" s="41" t="n">
        <f aca="false">IF($A153="","",$F153*$I153*(1-$G153))</f>
        <v>9600</v>
      </c>
      <c r="L153" s="41" t="n">
        <f aca="false">IF($A153="","",$F153*$J153)</f>
        <v>7000</v>
      </c>
      <c r="M153" s="41" t="n">
        <f aca="false">IF($A153="","",$K153-$L153)</f>
        <v>2600</v>
      </c>
    </row>
    <row r="154" customFormat="false" ht="15" hidden="false" customHeight="false" outlineLevel="0" collapsed="false">
      <c r="A154" s="37" t="s">
        <v>253</v>
      </c>
      <c r="B154" s="38" t="n">
        <v>45806</v>
      </c>
      <c r="C154" s="37" t="s">
        <v>88</v>
      </c>
      <c r="D154" s="37" t="s">
        <v>111</v>
      </c>
      <c r="E154" s="37" t="s">
        <v>94</v>
      </c>
      <c r="F154" s="39" t="n">
        <v>181</v>
      </c>
      <c r="G154" s="40" t="n">
        <v>0.05</v>
      </c>
      <c r="H154" s="8" t="str">
        <f aca="false">IF($A154="","",IFERROR(INDEX(Products!$B$2:$B$50,MATCH($E154,Products!$A$2:$A$50,0)),"Unmapped"))</f>
        <v>Stationery</v>
      </c>
      <c r="I154" s="41" t="n">
        <f aca="false">IF($A154="","",IFERROR(INDEX(Products!$C$2:$C$50,MATCH($E154,Products!$A$2:$A$50,0)),0))</f>
        <v>280</v>
      </c>
      <c r="J154" s="41" t="n">
        <f aca="false">IF($A154="","",IFERROR(INDEX(Products!$D$2:$D$50,MATCH($E154,Products!$A$2:$A$50,0)),0))</f>
        <v>210</v>
      </c>
      <c r="K154" s="41" t="n">
        <f aca="false">IF($A154="","",$F154*$I154*(1-$G154))</f>
        <v>48146</v>
      </c>
      <c r="L154" s="41" t="n">
        <f aca="false">IF($A154="","",$F154*$J154)</f>
        <v>38010</v>
      </c>
      <c r="M154" s="41" t="n">
        <f aca="false">IF($A154="","",$K154-$L154)</f>
        <v>10136</v>
      </c>
    </row>
    <row r="155" customFormat="false" ht="15" hidden="false" customHeight="false" outlineLevel="0" collapsed="false">
      <c r="A155" s="37" t="s">
        <v>254</v>
      </c>
      <c r="B155" s="38" t="n">
        <v>45807</v>
      </c>
      <c r="C155" s="37" t="s">
        <v>82</v>
      </c>
      <c r="D155" s="37" t="s">
        <v>83</v>
      </c>
      <c r="E155" s="37" t="s">
        <v>94</v>
      </c>
      <c r="F155" s="39" t="n">
        <v>184</v>
      </c>
      <c r="G155" s="40" t="n">
        <v>0.1</v>
      </c>
      <c r="H155" s="8" t="str">
        <f aca="false">IF($A155="","",IFERROR(INDEX(Products!$B$2:$B$50,MATCH($E155,Products!$A$2:$A$50,0)),"Unmapped"))</f>
        <v>Stationery</v>
      </c>
      <c r="I155" s="41" t="n">
        <f aca="false">IF($A155="","",IFERROR(INDEX(Products!$C$2:$C$50,MATCH($E155,Products!$A$2:$A$50,0)),0))</f>
        <v>280</v>
      </c>
      <c r="J155" s="41" t="n">
        <f aca="false">IF($A155="","",IFERROR(INDEX(Products!$D$2:$D$50,MATCH($E155,Products!$A$2:$A$50,0)),0))</f>
        <v>210</v>
      </c>
      <c r="K155" s="41" t="n">
        <f aca="false">IF($A155="","",$F155*$I155*(1-$G155))</f>
        <v>46368</v>
      </c>
      <c r="L155" s="41" t="n">
        <f aca="false">IF($A155="","",$F155*$J155)</f>
        <v>38640</v>
      </c>
      <c r="M155" s="41" t="n">
        <f aca="false">IF($A155="","",$K155-$L155)</f>
        <v>7728</v>
      </c>
    </row>
    <row r="156" customFormat="false" ht="15" hidden="false" customHeight="false" outlineLevel="0" collapsed="false">
      <c r="A156" s="37" t="s">
        <v>255</v>
      </c>
      <c r="B156" s="38" t="n">
        <v>45808</v>
      </c>
      <c r="C156" s="37" t="s">
        <v>82</v>
      </c>
      <c r="D156" s="37" t="s">
        <v>93</v>
      </c>
      <c r="E156" s="37" t="s">
        <v>90</v>
      </c>
      <c r="F156" s="39" t="n">
        <v>197</v>
      </c>
      <c r="G156" s="40" t="n">
        <v>0.05</v>
      </c>
      <c r="H156" s="8" t="str">
        <f aca="false">IF($A156="","",IFERROR(INDEX(Products!$B$2:$B$50,MATCH($E156,Products!$A$2:$A$50,0)),"Unmapped"))</f>
        <v>Stationery</v>
      </c>
      <c r="I156" s="41" t="n">
        <f aca="false">IF($A156="","",IFERROR(INDEX(Products!$C$2:$C$50,MATCH($E156,Products!$A$2:$A$50,0)),0))</f>
        <v>120</v>
      </c>
      <c r="J156" s="41" t="n">
        <f aca="false">IF($A156="","",IFERROR(INDEX(Products!$D$2:$D$50,MATCH($E156,Products!$A$2:$A$50,0)),0))</f>
        <v>80</v>
      </c>
      <c r="K156" s="41" t="n">
        <f aca="false">IF($A156="","",$F156*$I156*(1-$G156))</f>
        <v>22458</v>
      </c>
      <c r="L156" s="41" t="n">
        <f aca="false">IF($A156="","",$F156*$J156)</f>
        <v>15760</v>
      </c>
      <c r="M156" s="41" t="n">
        <f aca="false">IF($A156="","",$K156-$L156)</f>
        <v>6698</v>
      </c>
    </row>
    <row r="157" customFormat="false" ht="15" hidden="false" customHeight="false" outlineLevel="0" collapsed="false">
      <c r="A157" s="37" t="s">
        <v>256</v>
      </c>
      <c r="B157" s="38" t="n">
        <v>45808</v>
      </c>
      <c r="C157" s="37" t="s">
        <v>88</v>
      </c>
      <c r="D157" s="37" t="s">
        <v>89</v>
      </c>
      <c r="E157" s="37" t="s">
        <v>90</v>
      </c>
      <c r="F157" s="39" t="n">
        <v>175</v>
      </c>
      <c r="G157" s="40" t="n">
        <v>0.05</v>
      </c>
      <c r="H157" s="8" t="str">
        <f aca="false">IF($A157="","",IFERROR(INDEX(Products!$B$2:$B$50,MATCH($E157,Products!$A$2:$A$50,0)),"Unmapped"))</f>
        <v>Stationery</v>
      </c>
      <c r="I157" s="41" t="n">
        <f aca="false">IF($A157="","",IFERROR(INDEX(Products!$C$2:$C$50,MATCH($E157,Products!$A$2:$A$50,0)),0))</f>
        <v>120</v>
      </c>
      <c r="J157" s="41" t="n">
        <f aca="false">IF($A157="","",IFERROR(INDEX(Products!$D$2:$D$50,MATCH($E157,Products!$A$2:$A$50,0)),0))</f>
        <v>80</v>
      </c>
      <c r="K157" s="41" t="n">
        <f aca="false">IF($A157="","",$F157*$I157*(1-$G157))</f>
        <v>19950</v>
      </c>
      <c r="L157" s="41" t="n">
        <f aca="false">IF($A157="","",$F157*$J157)</f>
        <v>14000</v>
      </c>
      <c r="M157" s="41" t="n">
        <f aca="false">IF($A157="","",$K157-$L157)</f>
        <v>5950</v>
      </c>
    </row>
    <row r="158" customFormat="false" ht="15" hidden="false" customHeight="false" outlineLevel="0" collapsed="false">
      <c r="A158" s="37" t="s">
        <v>257</v>
      </c>
      <c r="B158" s="38" t="n">
        <v>45809</v>
      </c>
      <c r="C158" s="37" t="s">
        <v>78</v>
      </c>
      <c r="D158" s="37" t="s">
        <v>86</v>
      </c>
      <c r="E158" s="37" t="s">
        <v>134</v>
      </c>
      <c r="F158" s="39" t="n">
        <v>14</v>
      </c>
      <c r="G158" s="40" t="n">
        <v>0</v>
      </c>
      <c r="H158" s="8" t="str">
        <f aca="false">IF($A158="","",IFERROR(INDEX(Products!$B$2:$B$50,MATCH($E158,Products!$A$2:$A$50,0)),"Unmapped"))</f>
        <v>Furniture</v>
      </c>
      <c r="I158" s="41" t="n">
        <f aca="false">IF($A158="","",IFERROR(INDEX(Products!$C$2:$C$50,MATCH($E158,Products!$A$2:$A$50,0)),0))</f>
        <v>6100</v>
      </c>
      <c r="J158" s="41" t="n">
        <f aca="false">IF($A158="","",IFERROR(INDEX(Products!$D$2:$D$50,MATCH($E158,Products!$A$2:$A$50,0)),0))</f>
        <v>4500</v>
      </c>
      <c r="K158" s="41" t="n">
        <f aca="false">IF($A158="","",$F158*$I158*(1-$G158))</f>
        <v>85400</v>
      </c>
      <c r="L158" s="41" t="n">
        <f aca="false">IF($A158="","",$F158*$J158)</f>
        <v>63000</v>
      </c>
      <c r="M158" s="41" t="n">
        <f aca="false">IF($A158="","",$K158-$L158)</f>
        <v>22400</v>
      </c>
    </row>
    <row r="159" customFormat="false" ht="15" hidden="false" customHeight="false" outlineLevel="0" collapsed="false">
      <c r="A159" s="37" t="s">
        <v>258</v>
      </c>
      <c r="B159" s="38" t="n">
        <v>45809</v>
      </c>
      <c r="C159" s="37" t="s">
        <v>78</v>
      </c>
      <c r="D159" s="37" t="s">
        <v>86</v>
      </c>
      <c r="E159" s="37" t="s">
        <v>107</v>
      </c>
      <c r="F159" s="39" t="n">
        <v>9</v>
      </c>
      <c r="G159" s="40" t="n">
        <v>0.05</v>
      </c>
      <c r="H159" s="8" t="str">
        <f aca="false">IF($A159="","",IFERROR(INDEX(Products!$B$2:$B$50,MATCH($E159,Products!$A$2:$A$50,0)),"Unmapped"))</f>
        <v>Furniture</v>
      </c>
      <c r="I159" s="41" t="n">
        <f aca="false">IF($A159="","",IFERROR(INDEX(Products!$C$2:$C$50,MATCH($E159,Products!$A$2:$A$50,0)),0))</f>
        <v>7200</v>
      </c>
      <c r="J159" s="41" t="n">
        <f aca="false">IF($A159="","",IFERROR(INDEX(Products!$D$2:$D$50,MATCH($E159,Products!$A$2:$A$50,0)),0))</f>
        <v>5400</v>
      </c>
      <c r="K159" s="41" t="n">
        <f aca="false">IF($A159="","",$F159*$I159*(1-$G159))</f>
        <v>61560</v>
      </c>
      <c r="L159" s="41" t="n">
        <f aca="false">IF($A159="","",$F159*$J159)</f>
        <v>48600</v>
      </c>
      <c r="M159" s="41" t="n">
        <f aca="false">IF($A159="","",$K159-$L159)</f>
        <v>12960</v>
      </c>
    </row>
    <row r="160" customFormat="false" ht="15" hidden="false" customHeight="false" outlineLevel="0" collapsed="false">
      <c r="A160" s="37" t="s">
        <v>259</v>
      </c>
      <c r="B160" s="38" t="n">
        <v>45809</v>
      </c>
      <c r="C160" s="37" t="s">
        <v>88</v>
      </c>
      <c r="D160" s="37" t="s">
        <v>111</v>
      </c>
      <c r="E160" s="37" t="s">
        <v>96</v>
      </c>
      <c r="F160" s="39" t="n">
        <v>7</v>
      </c>
      <c r="G160" s="40" t="n">
        <v>0</v>
      </c>
      <c r="H160" s="8" t="str">
        <f aca="false">IF($A160="","",IFERROR(INDEX(Products!$B$2:$B$50,MATCH($E160,Products!$A$2:$A$50,0)),"Unmapped"))</f>
        <v>Furniture</v>
      </c>
      <c r="I160" s="41" t="n">
        <f aca="false">IF($A160="","",IFERROR(INDEX(Products!$C$2:$C$50,MATCH($E160,Products!$A$2:$A$50,0)),0))</f>
        <v>4800</v>
      </c>
      <c r="J160" s="41" t="n">
        <f aca="false">IF($A160="","",IFERROR(INDEX(Products!$D$2:$D$50,MATCH($E160,Products!$A$2:$A$50,0)),0))</f>
        <v>3500</v>
      </c>
      <c r="K160" s="41" t="n">
        <f aca="false">IF($A160="","",$F160*$I160*(1-$G160))</f>
        <v>33600</v>
      </c>
      <c r="L160" s="41" t="n">
        <f aca="false">IF($A160="","",$F160*$J160)</f>
        <v>24500</v>
      </c>
      <c r="M160" s="41" t="n">
        <f aca="false">IF($A160="","",$K160-$L160)</f>
        <v>9100</v>
      </c>
    </row>
    <row r="161" customFormat="false" ht="15" hidden="false" customHeight="false" outlineLevel="0" collapsed="false">
      <c r="A161" s="37" t="s">
        <v>260</v>
      </c>
      <c r="B161" s="38" t="n">
        <v>45810</v>
      </c>
      <c r="C161" s="37" t="s">
        <v>78</v>
      </c>
      <c r="D161" s="37" t="s">
        <v>86</v>
      </c>
      <c r="E161" s="37" t="s">
        <v>121</v>
      </c>
      <c r="F161" s="39" t="n">
        <v>27</v>
      </c>
      <c r="G161" s="40" t="n">
        <v>0.05</v>
      </c>
      <c r="H161" s="8" t="str">
        <f aca="false">IF($A161="","",IFERROR(INDEX(Products!$B$2:$B$50,MATCH($E161,Products!$A$2:$A$50,0)),"Unmapped"))</f>
        <v>Electronics</v>
      </c>
      <c r="I161" s="41" t="n">
        <f aca="false">IF($A161="","",IFERROR(INDEX(Products!$C$2:$C$50,MATCH($E161,Products!$A$2:$A$50,0)),0))</f>
        <v>650</v>
      </c>
      <c r="J161" s="41" t="n">
        <f aca="false">IF($A161="","",IFERROR(INDEX(Products!$D$2:$D$50,MATCH($E161,Products!$A$2:$A$50,0)),0))</f>
        <v>430</v>
      </c>
      <c r="K161" s="41" t="n">
        <f aca="false">IF($A161="","",$F161*$I161*(1-$G161))</f>
        <v>16672.5</v>
      </c>
      <c r="L161" s="41" t="n">
        <f aca="false">IF($A161="","",$F161*$J161)</f>
        <v>11610</v>
      </c>
      <c r="M161" s="41" t="n">
        <f aca="false">IF($A161="","",$K161-$L161)</f>
        <v>5062.5</v>
      </c>
    </row>
    <row r="162" customFormat="false" ht="15" hidden="false" customHeight="false" outlineLevel="0" collapsed="false">
      <c r="A162" s="37" t="s">
        <v>261</v>
      </c>
      <c r="B162" s="38" t="n">
        <v>45811</v>
      </c>
      <c r="C162" s="37" t="s">
        <v>88</v>
      </c>
      <c r="D162" s="37" t="s">
        <v>111</v>
      </c>
      <c r="E162" s="37" t="s">
        <v>84</v>
      </c>
      <c r="F162" s="39" t="n">
        <v>91</v>
      </c>
      <c r="G162" s="40" t="n">
        <v>0.05</v>
      </c>
      <c r="H162" s="8" t="str">
        <f aca="false">IF($A162="","",IFERROR(INDEX(Products!$B$2:$B$50,MATCH($E162,Products!$A$2:$A$50,0)),"Unmapped"))</f>
        <v>Stationery</v>
      </c>
      <c r="I162" s="41" t="n">
        <f aca="false">IF($A162="","",IFERROR(INDEX(Products!$C$2:$C$50,MATCH($E162,Products!$A$2:$A$50,0)),0))</f>
        <v>350</v>
      </c>
      <c r="J162" s="41" t="n">
        <f aca="false">IF($A162="","",IFERROR(INDEX(Products!$D$2:$D$50,MATCH($E162,Products!$A$2:$A$50,0)),0))</f>
        <v>240</v>
      </c>
      <c r="K162" s="41" t="n">
        <f aca="false">IF($A162="","",$F162*$I162*(1-$G162))</f>
        <v>30257.5</v>
      </c>
      <c r="L162" s="41" t="n">
        <f aca="false">IF($A162="","",$F162*$J162)</f>
        <v>21840</v>
      </c>
      <c r="M162" s="41" t="n">
        <f aca="false">IF($A162="","",$K162-$L162)</f>
        <v>8417.5</v>
      </c>
    </row>
    <row r="163" customFormat="false" ht="15" hidden="false" customHeight="false" outlineLevel="0" collapsed="false">
      <c r="A163" s="37" t="s">
        <v>262</v>
      </c>
      <c r="B163" s="38" t="n">
        <v>45813</v>
      </c>
      <c r="C163" s="37" t="s">
        <v>88</v>
      </c>
      <c r="D163" s="37" t="s">
        <v>89</v>
      </c>
      <c r="E163" s="37" t="s">
        <v>94</v>
      </c>
      <c r="F163" s="39" t="n">
        <v>41</v>
      </c>
      <c r="G163" s="40" t="n">
        <v>0</v>
      </c>
      <c r="H163" s="8" t="str">
        <f aca="false">IF($A163="","",IFERROR(INDEX(Products!$B$2:$B$50,MATCH($E163,Products!$A$2:$A$50,0)),"Unmapped"))</f>
        <v>Stationery</v>
      </c>
      <c r="I163" s="41" t="n">
        <f aca="false">IF($A163="","",IFERROR(INDEX(Products!$C$2:$C$50,MATCH($E163,Products!$A$2:$A$50,0)),0))</f>
        <v>280</v>
      </c>
      <c r="J163" s="41" t="n">
        <f aca="false">IF($A163="","",IFERROR(INDEX(Products!$D$2:$D$50,MATCH($E163,Products!$A$2:$A$50,0)),0))</f>
        <v>210</v>
      </c>
      <c r="K163" s="41" t="n">
        <f aca="false">IF($A163="","",$F163*$I163*(1-$G163))</f>
        <v>11480</v>
      </c>
      <c r="L163" s="41" t="n">
        <f aca="false">IF($A163="","",$F163*$J163)</f>
        <v>8610</v>
      </c>
      <c r="M163" s="41" t="n">
        <f aca="false">IF($A163="","",$K163-$L163)</f>
        <v>2870</v>
      </c>
    </row>
    <row r="164" customFormat="false" ht="15" hidden="false" customHeight="false" outlineLevel="0" collapsed="false">
      <c r="A164" s="37" t="s">
        <v>263</v>
      </c>
      <c r="B164" s="38" t="n">
        <v>45813</v>
      </c>
      <c r="C164" s="37" t="s">
        <v>82</v>
      </c>
      <c r="D164" s="37" t="s">
        <v>93</v>
      </c>
      <c r="E164" s="37" t="s">
        <v>90</v>
      </c>
      <c r="F164" s="39" t="n">
        <v>182</v>
      </c>
      <c r="G164" s="40" t="n">
        <v>0.05</v>
      </c>
      <c r="H164" s="8" t="str">
        <f aca="false">IF($A164="","",IFERROR(INDEX(Products!$B$2:$B$50,MATCH($E164,Products!$A$2:$A$50,0)),"Unmapped"))</f>
        <v>Stationery</v>
      </c>
      <c r="I164" s="41" t="n">
        <f aca="false">IF($A164="","",IFERROR(INDEX(Products!$C$2:$C$50,MATCH($E164,Products!$A$2:$A$50,0)),0))</f>
        <v>120</v>
      </c>
      <c r="J164" s="41" t="n">
        <f aca="false">IF($A164="","",IFERROR(INDEX(Products!$D$2:$D$50,MATCH($E164,Products!$A$2:$A$50,0)),0))</f>
        <v>80</v>
      </c>
      <c r="K164" s="41" t="n">
        <f aca="false">IF($A164="","",$F164*$I164*(1-$G164))</f>
        <v>20748</v>
      </c>
      <c r="L164" s="41" t="n">
        <f aca="false">IF($A164="","",$F164*$J164)</f>
        <v>14560</v>
      </c>
      <c r="M164" s="41" t="n">
        <f aca="false">IF($A164="","",$K164-$L164)</f>
        <v>6188</v>
      </c>
    </row>
    <row r="165" customFormat="false" ht="15" hidden="false" customHeight="false" outlineLevel="0" collapsed="false">
      <c r="A165" s="37" t="s">
        <v>264</v>
      </c>
      <c r="B165" s="38" t="n">
        <v>45814</v>
      </c>
      <c r="C165" s="37" t="s">
        <v>82</v>
      </c>
      <c r="D165" s="37" t="s">
        <v>93</v>
      </c>
      <c r="E165" s="37" t="s">
        <v>84</v>
      </c>
      <c r="F165" s="39" t="n">
        <v>152</v>
      </c>
      <c r="G165" s="40" t="n">
        <v>0</v>
      </c>
      <c r="H165" s="8" t="str">
        <f aca="false">IF($A165="","",IFERROR(INDEX(Products!$B$2:$B$50,MATCH($E165,Products!$A$2:$A$50,0)),"Unmapped"))</f>
        <v>Stationery</v>
      </c>
      <c r="I165" s="41" t="n">
        <f aca="false">IF($A165="","",IFERROR(INDEX(Products!$C$2:$C$50,MATCH($E165,Products!$A$2:$A$50,0)),0))</f>
        <v>350</v>
      </c>
      <c r="J165" s="41" t="n">
        <f aca="false">IF($A165="","",IFERROR(INDEX(Products!$D$2:$D$50,MATCH($E165,Products!$A$2:$A$50,0)),0))</f>
        <v>240</v>
      </c>
      <c r="K165" s="41" t="n">
        <f aca="false">IF($A165="","",$F165*$I165*(1-$G165))</f>
        <v>53200</v>
      </c>
      <c r="L165" s="41" t="n">
        <f aca="false">IF($A165="","",$F165*$J165)</f>
        <v>36480</v>
      </c>
      <c r="M165" s="41" t="n">
        <f aca="false">IF($A165="","",$K165-$L165)</f>
        <v>16720</v>
      </c>
    </row>
    <row r="166" customFormat="false" ht="15" hidden="false" customHeight="false" outlineLevel="0" collapsed="false">
      <c r="A166" s="37" t="s">
        <v>265</v>
      </c>
      <c r="B166" s="38" t="n">
        <v>45815</v>
      </c>
      <c r="C166" s="37" t="s">
        <v>105</v>
      </c>
      <c r="D166" s="37" t="s">
        <v>116</v>
      </c>
      <c r="E166" s="37" t="s">
        <v>94</v>
      </c>
      <c r="F166" s="39" t="n">
        <v>74</v>
      </c>
      <c r="G166" s="40" t="n">
        <v>0.05</v>
      </c>
      <c r="H166" s="8" t="str">
        <f aca="false">IF($A166="","",IFERROR(INDEX(Products!$B$2:$B$50,MATCH($E166,Products!$A$2:$A$50,0)),"Unmapped"))</f>
        <v>Stationery</v>
      </c>
      <c r="I166" s="41" t="n">
        <f aca="false">IF($A166="","",IFERROR(INDEX(Products!$C$2:$C$50,MATCH($E166,Products!$A$2:$A$50,0)),0))</f>
        <v>280</v>
      </c>
      <c r="J166" s="41" t="n">
        <f aca="false">IF($A166="","",IFERROR(INDEX(Products!$D$2:$D$50,MATCH($E166,Products!$A$2:$A$50,0)),0))</f>
        <v>210</v>
      </c>
      <c r="K166" s="41" t="n">
        <f aca="false">IF($A166="","",$F166*$I166*(1-$G166))</f>
        <v>19684</v>
      </c>
      <c r="L166" s="41" t="n">
        <f aca="false">IF($A166="","",$F166*$J166)</f>
        <v>15540</v>
      </c>
      <c r="M166" s="41" t="n">
        <f aca="false">IF($A166="","",$K166-$L166)</f>
        <v>4144</v>
      </c>
    </row>
    <row r="167" customFormat="false" ht="15" hidden="false" customHeight="false" outlineLevel="0" collapsed="false">
      <c r="A167" s="37" t="s">
        <v>266</v>
      </c>
      <c r="B167" s="38" t="n">
        <v>45818</v>
      </c>
      <c r="C167" s="37" t="s">
        <v>78</v>
      </c>
      <c r="D167" s="37" t="s">
        <v>86</v>
      </c>
      <c r="E167" s="37" t="s">
        <v>90</v>
      </c>
      <c r="F167" s="39" t="n">
        <v>33</v>
      </c>
      <c r="G167" s="40" t="n">
        <v>0.05</v>
      </c>
      <c r="H167" s="8" t="str">
        <f aca="false">IF($A167="","",IFERROR(INDEX(Products!$B$2:$B$50,MATCH($E167,Products!$A$2:$A$50,0)),"Unmapped"))</f>
        <v>Stationery</v>
      </c>
      <c r="I167" s="41" t="n">
        <f aca="false">IF($A167="","",IFERROR(INDEX(Products!$C$2:$C$50,MATCH($E167,Products!$A$2:$A$50,0)),0))</f>
        <v>120</v>
      </c>
      <c r="J167" s="41" t="n">
        <f aca="false">IF($A167="","",IFERROR(INDEX(Products!$D$2:$D$50,MATCH($E167,Products!$A$2:$A$50,0)),0))</f>
        <v>80</v>
      </c>
      <c r="K167" s="41" t="n">
        <f aca="false">IF($A167="","",$F167*$I167*(1-$G167))</f>
        <v>3762</v>
      </c>
      <c r="L167" s="41" t="n">
        <f aca="false">IF($A167="","",$F167*$J167)</f>
        <v>2640</v>
      </c>
      <c r="M167" s="41" t="n">
        <f aca="false">IF($A167="","",$K167-$L167)</f>
        <v>1122</v>
      </c>
    </row>
    <row r="168" customFormat="false" ht="15" hidden="false" customHeight="false" outlineLevel="0" collapsed="false">
      <c r="A168" s="37" t="s">
        <v>267</v>
      </c>
      <c r="B168" s="38" t="n">
        <v>45818</v>
      </c>
      <c r="C168" s="37" t="s">
        <v>82</v>
      </c>
      <c r="D168" s="37" t="s">
        <v>93</v>
      </c>
      <c r="E168" s="37" t="s">
        <v>121</v>
      </c>
      <c r="F168" s="39" t="n">
        <v>3</v>
      </c>
      <c r="G168" s="40" t="n">
        <v>0.1</v>
      </c>
      <c r="H168" s="8" t="str">
        <f aca="false">IF($A168="","",IFERROR(INDEX(Products!$B$2:$B$50,MATCH($E168,Products!$A$2:$A$50,0)),"Unmapped"))</f>
        <v>Electronics</v>
      </c>
      <c r="I168" s="41" t="n">
        <f aca="false">IF($A168="","",IFERROR(INDEX(Products!$C$2:$C$50,MATCH($E168,Products!$A$2:$A$50,0)),0))</f>
        <v>650</v>
      </c>
      <c r="J168" s="41" t="n">
        <f aca="false">IF($A168="","",IFERROR(INDEX(Products!$D$2:$D$50,MATCH($E168,Products!$A$2:$A$50,0)),0))</f>
        <v>430</v>
      </c>
      <c r="K168" s="41" t="n">
        <f aca="false">IF($A168="","",$F168*$I168*(1-$G168))</f>
        <v>1755</v>
      </c>
      <c r="L168" s="41" t="n">
        <f aca="false">IF($A168="","",$F168*$J168)</f>
        <v>1290</v>
      </c>
      <c r="M168" s="41" t="n">
        <f aca="false">IF($A168="","",$K168-$L168)</f>
        <v>465</v>
      </c>
    </row>
    <row r="169" customFormat="false" ht="15" hidden="false" customHeight="false" outlineLevel="0" collapsed="false">
      <c r="A169" s="37" t="s">
        <v>268</v>
      </c>
      <c r="B169" s="38" t="n">
        <v>45818</v>
      </c>
      <c r="C169" s="37" t="s">
        <v>78</v>
      </c>
      <c r="D169" s="37" t="s">
        <v>86</v>
      </c>
      <c r="E169" s="37" t="s">
        <v>121</v>
      </c>
      <c r="F169" s="39" t="n">
        <v>23</v>
      </c>
      <c r="G169" s="40" t="n">
        <v>0</v>
      </c>
      <c r="H169" s="8" t="str">
        <f aca="false">IF($A169="","",IFERROR(INDEX(Products!$B$2:$B$50,MATCH($E169,Products!$A$2:$A$50,0)),"Unmapped"))</f>
        <v>Electronics</v>
      </c>
      <c r="I169" s="41" t="n">
        <f aca="false">IF($A169="","",IFERROR(INDEX(Products!$C$2:$C$50,MATCH($E169,Products!$A$2:$A$50,0)),0))</f>
        <v>650</v>
      </c>
      <c r="J169" s="41" t="n">
        <f aca="false">IF($A169="","",IFERROR(INDEX(Products!$D$2:$D$50,MATCH($E169,Products!$A$2:$A$50,0)),0))</f>
        <v>430</v>
      </c>
      <c r="K169" s="41" t="n">
        <f aca="false">IF($A169="","",$F169*$I169*(1-$G169))</f>
        <v>14950</v>
      </c>
      <c r="L169" s="41" t="n">
        <f aca="false">IF($A169="","",$F169*$J169)</f>
        <v>9890</v>
      </c>
      <c r="M169" s="41" t="n">
        <f aca="false">IF($A169="","",$K169-$L169)</f>
        <v>5060</v>
      </c>
    </row>
    <row r="170" customFormat="false" ht="15" hidden="false" customHeight="false" outlineLevel="0" collapsed="false">
      <c r="A170" s="37" t="s">
        <v>269</v>
      </c>
      <c r="B170" s="38" t="n">
        <v>45819</v>
      </c>
      <c r="C170" s="37" t="s">
        <v>105</v>
      </c>
      <c r="D170" s="37" t="s">
        <v>106</v>
      </c>
      <c r="E170" s="37" t="s">
        <v>90</v>
      </c>
      <c r="F170" s="39" t="n">
        <v>68</v>
      </c>
      <c r="G170" s="40" t="n">
        <v>0.05</v>
      </c>
      <c r="H170" s="8" t="str">
        <f aca="false">IF($A170="","",IFERROR(INDEX(Products!$B$2:$B$50,MATCH($E170,Products!$A$2:$A$50,0)),"Unmapped"))</f>
        <v>Stationery</v>
      </c>
      <c r="I170" s="41" t="n">
        <f aca="false">IF($A170="","",IFERROR(INDEX(Products!$C$2:$C$50,MATCH($E170,Products!$A$2:$A$50,0)),0))</f>
        <v>120</v>
      </c>
      <c r="J170" s="41" t="n">
        <f aca="false">IF($A170="","",IFERROR(INDEX(Products!$D$2:$D$50,MATCH($E170,Products!$A$2:$A$50,0)),0))</f>
        <v>80</v>
      </c>
      <c r="K170" s="41" t="n">
        <f aca="false">IF($A170="","",$F170*$I170*(1-$G170))</f>
        <v>7752</v>
      </c>
      <c r="L170" s="41" t="n">
        <f aca="false">IF($A170="","",$F170*$J170)</f>
        <v>5440</v>
      </c>
      <c r="M170" s="41" t="n">
        <f aca="false">IF($A170="","",$K170-$L170)</f>
        <v>2312</v>
      </c>
    </row>
    <row r="171" customFormat="false" ht="15" hidden="false" customHeight="false" outlineLevel="0" collapsed="false">
      <c r="A171" s="37" t="s">
        <v>270</v>
      </c>
      <c r="B171" s="38" t="n">
        <v>45819</v>
      </c>
      <c r="C171" s="37" t="s">
        <v>88</v>
      </c>
      <c r="D171" s="37" t="s">
        <v>111</v>
      </c>
      <c r="E171" s="37" t="s">
        <v>94</v>
      </c>
      <c r="F171" s="39" t="n">
        <v>192</v>
      </c>
      <c r="G171" s="40" t="n">
        <v>0.1</v>
      </c>
      <c r="H171" s="8" t="str">
        <f aca="false">IF($A171="","",IFERROR(INDEX(Products!$B$2:$B$50,MATCH($E171,Products!$A$2:$A$50,0)),"Unmapped"))</f>
        <v>Stationery</v>
      </c>
      <c r="I171" s="41" t="n">
        <f aca="false">IF($A171="","",IFERROR(INDEX(Products!$C$2:$C$50,MATCH($E171,Products!$A$2:$A$50,0)),0))</f>
        <v>280</v>
      </c>
      <c r="J171" s="41" t="n">
        <f aca="false">IF($A171="","",IFERROR(INDEX(Products!$D$2:$D$50,MATCH($E171,Products!$A$2:$A$50,0)),0))</f>
        <v>210</v>
      </c>
      <c r="K171" s="41" t="n">
        <f aca="false">IF($A171="","",$F171*$I171*(1-$G171))</f>
        <v>48384</v>
      </c>
      <c r="L171" s="41" t="n">
        <f aca="false">IF($A171="","",$F171*$J171)</f>
        <v>40320</v>
      </c>
      <c r="M171" s="41" t="n">
        <f aca="false">IF($A171="","",$K171-$L171)</f>
        <v>8064</v>
      </c>
    </row>
    <row r="172" customFormat="false" ht="15" hidden="false" customHeight="false" outlineLevel="0" collapsed="false">
      <c r="A172" s="37" t="s">
        <v>271</v>
      </c>
      <c r="B172" s="38" t="n">
        <v>45819</v>
      </c>
      <c r="C172" s="37" t="s">
        <v>78</v>
      </c>
      <c r="D172" s="37" t="s">
        <v>79</v>
      </c>
      <c r="E172" s="37" t="s">
        <v>121</v>
      </c>
      <c r="F172" s="39" t="n">
        <v>26</v>
      </c>
      <c r="G172" s="40" t="n">
        <v>0.15</v>
      </c>
      <c r="H172" s="8" t="str">
        <f aca="false">IF($A172="","",IFERROR(INDEX(Products!$B$2:$B$50,MATCH($E172,Products!$A$2:$A$50,0)),"Unmapped"))</f>
        <v>Electronics</v>
      </c>
      <c r="I172" s="41" t="n">
        <f aca="false">IF($A172="","",IFERROR(INDEX(Products!$C$2:$C$50,MATCH($E172,Products!$A$2:$A$50,0)),0))</f>
        <v>650</v>
      </c>
      <c r="J172" s="41" t="n">
        <f aca="false">IF($A172="","",IFERROR(INDEX(Products!$D$2:$D$50,MATCH($E172,Products!$A$2:$A$50,0)),0))</f>
        <v>430</v>
      </c>
      <c r="K172" s="41" t="n">
        <f aca="false">IF($A172="","",$F172*$I172*(1-$G172))</f>
        <v>14365</v>
      </c>
      <c r="L172" s="41" t="n">
        <f aca="false">IF($A172="","",$F172*$J172)</f>
        <v>11180</v>
      </c>
      <c r="M172" s="41" t="n">
        <f aca="false">IF($A172="","",$K172-$L172)</f>
        <v>3185</v>
      </c>
    </row>
    <row r="173" customFormat="false" ht="15" hidden="false" customHeight="false" outlineLevel="0" collapsed="false">
      <c r="A173" s="37" t="s">
        <v>272</v>
      </c>
      <c r="B173" s="38" t="n">
        <v>45820</v>
      </c>
      <c r="C173" s="37" t="s">
        <v>78</v>
      </c>
      <c r="D173" s="37" t="s">
        <v>86</v>
      </c>
      <c r="E173" s="37" t="s">
        <v>84</v>
      </c>
      <c r="F173" s="39" t="n">
        <v>37</v>
      </c>
      <c r="G173" s="40" t="n">
        <v>0</v>
      </c>
      <c r="H173" s="8" t="str">
        <f aca="false">IF($A173="","",IFERROR(INDEX(Products!$B$2:$B$50,MATCH($E173,Products!$A$2:$A$50,0)),"Unmapped"))</f>
        <v>Stationery</v>
      </c>
      <c r="I173" s="41" t="n">
        <f aca="false">IF($A173="","",IFERROR(INDEX(Products!$C$2:$C$50,MATCH($E173,Products!$A$2:$A$50,0)),0))</f>
        <v>350</v>
      </c>
      <c r="J173" s="41" t="n">
        <f aca="false">IF($A173="","",IFERROR(INDEX(Products!$D$2:$D$50,MATCH($E173,Products!$A$2:$A$50,0)),0))</f>
        <v>240</v>
      </c>
      <c r="K173" s="41" t="n">
        <f aca="false">IF($A173="","",$F173*$I173*(1-$G173))</f>
        <v>12950</v>
      </c>
      <c r="L173" s="41" t="n">
        <f aca="false">IF($A173="","",$F173*$J173)</f>
        <v>8880</v>
      </c>
      <c r="M173" s="41" t="n">
        <f aca="false">IF($A173="","",$K173-$L173)</f>
        <v>4070</v>
      </c>
    </row>
    <row r="174" customFormat="false" ht="15" hidden="false" customHeight="false" outlineLevel="0" collapsed="false">
      <c r="A174" s="37" t="s">
        <v>273</v>
      </c>
      <c r="B174" s="38" t="n">
        <v>45821</v>
      </c>
      <c r="C174" s="37" t="s">
        <v>105</v>
      </c>
      <c r="D174" s="37" t="s">
        <v>106</v>
      </c>
      <c r="E174" s="37" t="s">
        <v>90</v>
      </c>
      <c r="F174" s="39" t="n">
        <v>93</v>
      </c>
      <c r="G174" s="40" t="n">
        <v>0.15</v>
      </c>
      <c r="H174" s="8" t="str">
        <f aca="false">IF($A174="","",IFERROR(INDEX(Products!$B$2:$B$50,MATCH($E174,Products!$A$2:$A$50,0)),"Unmapped"))</f>
        <v>Stationery</v>
      </c>
      <c r="I174" s="41" t="n">
        <f aca="false">IF($A174="","",IFERROR(INDEX(Products!$C$2:$C$50,MATCH($E174,Products!$A$2:$A$50,0)),0))</f>
        <v>120</v>
      </c>
      <c r="J174" s="41" t="n">
        <f aca="false">IF($A174="","",IFERROR(INDEX(Products!$D$2:$D$50,MATCH($E174,Products!$A$2:$A$50,0)),0))</f>
        <v>80</v>
      </c>
      <c r="K174" s="41" t="n">
        <f aca="false">IF($A174="","",$F174*$I174*(1-$G174))</f>
        <v>9486</v>
      </c>
      <c r="L174" s="41" t="n">
        <f aca="false">IF($A174="","",$F174*$J174)</f>
        <v>7440</v>
      </c>
      <c r="M174" s="41" t="n">
        <f aca="false">IF($A174="","",$K174-$L174)</f>
        <v>2046</v>
      </c>
    </row>
    <row r="175" customFormat="false" ht="15" hidden="false" customHeight="false" outlineLevel="0" collapsed="false">
      <c r="A175" s="37" t="s">
        <v>274</v>
      </c>
      <c r="B175" s="38" t="n">
        <v>45822</v>
      </c>
      <c r="C175" s="37" t="s">
        <v>78</v>
      </c>
      <c r="D175" s="37" t="s">
        <v>86</v>
      </c>
      <c r="E175" s="37" t="s">
        <v>103</v>
      </c>
      <c r="F175" s="39" t="n">
        <v>2</v>
      </c>
      <c r="G175" s="40" t="n">
        <v>0</v>
      </c>
      <c r="H175" s="8" t="str">
        <f aca="false">IF($A175="","",IFERROR(INDEX(Products!$B$2:$B$50,MATCH($E175,Products!$A$2:$A$50,0)),"Unmapped"))</f>
        <v>Electronics</v>
      </c>
      <c r="I175" s="41" t="n">
        <f aca="false">IF($A175="","",IFERROR(INDEX(Products!$C$2:$C$50,MATCH($E175,Products!$A$2:$A$50,0)),0))</f>
        <v>900</v>
      </c>
      <c r="J175" s="41" t="n">
        <f aca="false">IF($A175="","",IFERROR(INDEX(Products!$D$2:$D$50,MATCH($E175,Products!$A$2:$A$50,0)),0))</f>
        <v>620</v>
      </c>
      <c r="K175" s="41" t="n">
        <f aca="false">IF($A175="","",$F175*$I175*(1-$G175))</f>
        <v>1800</v>
      </c>
      <c r="L175" s="41" t="n">
        <f aca="false">IF($A175="","",$F175*$J175)</f>
        <v>1240</v>
      </c>
      <c r="M175" s="41" t="n">
        <f aca="false">IF($A175="","",$K175-$L175)</f>
        <v>560</v>
      </c>
    </row>
    <row r="176" customFormat="false" ht="15" hidden="false" customHeight="false" outlineLevel="0" collapsed="false">
      <c r="A176" s="37" t="s">
        <v>275</v>
      </c>
      <c r="B176" s="38" t="n">
        <v>45823</v>
      </c>
      <c r="C176" s="37" t="s">
        <v>78</v>
      </c>
      <c r="D176" s="37" t="s">
        <v>86</v>
      </c>
      <c r="E176" s="37" t="s">
        <v>90</v>
      </c>
      <c r="F176" s="39" t="n">
        <v>126</v>
      </c>
      <c r="G176" s="40" t="n">
        <v>0.05</v>
      </c>
      <c r="H176" s="8" t="str">
        <f aca="false">IF($A176="","",IFERROR(INDEX(Products!$B$2:$B$50,MATCH($E176,Products!$A$2:$A$50,0)),"Unmapped"))</f>
        <v>Stationery</v>
      </c>
      <c r="I176" s="41" t="n">
        <f aca="false">IF($A176="","",IFERROR(INDEX(Products!$C$2:$C$50,MATCH($E176,Products!$A$2:$A$50,0)),0))</f>
        <v>120</v>
      </c>
      <c r="J176" s="41" t="n">
        <f aca="false">IF($A176="","",IFERROR(INDEX(Products!$D$2:$D$50,MATCH($E176,Products!$A$2:$A$50,0)),0))</f>
        <v>80</v>
      </c>
      <c r="K176" s="41" t="n">
        <f aca="false">IF($A176="","",$F176*$I176*(1-$G176))</f>
        <v>14364</v>
      </c>
      <c r="L176" s="41" t="n">
        <f aca="false">IF($A176="","",$F176*$J176)</f>
        <v>10080</v>
      </c>
      <c r="M176" s="41" t="n">
        <f aca="false">IF($A176="","",$K176-$L176)</f>
        <v>4284</v>
      </c>
    </row>
    <row r="177" customFormat="false" ht="15" hidden="false" customHeight="false" outlineLevel="0" collapsed="false">
      <c r="A177" s="37" t="s">
        <v>276</v>
      </c>
      <c r="B177" s="38" t="n">
        <v>45824</v>
      </c>
      <c r="C177" s="37" t="s">
        <v>88</v>
      </c>
      <c r="D177" s="37" t="s">
        <v>89</v>
      </c>
      <c r="E177" s="37" t="s">
        <v>90</v>
      </c>
      <c r="F177" s="39" t="n">
        <v>83</v>
      </c>
      <c r="G177" s="40" t="n">
        <v>0.1</v>
      </c>
      <c r="H177" s="8" t="str">
        <f aca="false">IF($A177="","",IFERROR(INDEX(Products!$B$2:$B$50,MATCH($E177,Products!$A$2:$A$50,0)),"Unmapped"))</f>
        <v>Stationery</v>
      </c>
      <c r="I177" s="41" t="n">
        <f aca="false">IF($A177="","",IFERROR(INDEX(Products!$C$2:$C$50,MATCH($E177,Products!$A$2:$A$50,0)),0))</f>
        <v>120</v>
      </c>
      <c r="J177" s="41" t="n">
        <f aca="false">IF($A177="","",IFERROR(INDEX(Products!$D$2:$D$50,MATCH($E177,Products!$A$2:$A$50,0)),0))</f>
        <v>80</v>
      </c>
      <c r="K177" s="41" t="n">
        <f aca="false">IF($A177="","",$F177*$I177*(1-$G177))</f>
        <v>8964</v>
      </c>
      <c r="L177" s="41" t="n">
        <f aca="false">IF($A177="","",$F177*$J177)</f>
        <v>6640</v>
      </c>
      <c r="M177" s="41" t="n">
        <f aca="false">IF($A177="","",$K177-$L177)</f>
        <v>2324</v>
      </c>
    </row>
    <row r="178" customFormat="false" ht="15" hidden="false" customHeight="false" outlineLevel="0" collapsed="false">
      <c r="A178" s="37" t="s">
        <v>277</v>
      </c>
      <c r="B178" s="38" t="n">
        <v>45825</v>
      </c>
      <c r="C178" s="37" t="s">
        <v>105</v>
      </c>
      <c r="D178" s="37" t="s">
        <v>116</v>
      </c>
      <c r="E178" s="37" t="s">
        <v>107</v>
      </c>
      <c r="F178" s="39" t="n">
        <v>13</v>
      </c>
      <c r="G178" s="40" t="n">
        <v>0.15</v>
      </c>
      <c r="H178" s="8" t="str">
        <f aca="false">IF($A178="","",IFERROR(INDEX(Products!$B$2:$B$50,MATCH($E178,Products!$A$2:$A$50,0)),"Unmapped"))</f>
        <v>Furniture</v>
      </c>
      <c r="I178" s="41" t="n">
        <f aca="false">IF($A178="","",IFERROR(INDEX(Products!$C$2:$C$50,MATCH($E178,Products!$A$2:$A$50,0)),0))</f>
        <v>7200</v>
      </c>
      <c r="J178" s="41" t="n">
        <f aca="false">IF($A178="","",IFERROR(INDEX(Products!$D$2:$D$50,MATCH($E178,Products!$A$2:$A$50,0)),0))</f>
        <v>5400</v>
      </c>
      <c r="K178" s="41" t="n">
        <f aca="false">IF($A178="","",$F178*$I178*(1-$G178))</f>
        <v>79560</v>
      </c>
      <c r="L178" s="41" t="n">
        <f aca="false">IF($A178="","",$F178*$J178)</f>
        <v>70200</v>
      </c>
      <c r="M178" s="41" t="n">
        <f aca="false">IF($A178="","",$K178-$L178)</f>
        <v>9360</v>
      </c>
    </row>
    <row r="179" customFormat="false" ht="15" hidden="false" customHeight="false" outlineLevel="0" collapsed="false">
      <c r="A179" s="37" t="s">
        <v>278</v>
      </c>
      <c r="B179" s="38" t="n">
        <v>45827</v>
      </c>
      <c r="C179" s="37" t="s">
        <v>78</v>
      </c>
      <c r="D179" s="37" t="s">
        <v>86</v>
      </c>
      <c r="E179" s="37" t="s">
        <v>121</v>
      </c>
      <c r="F179" s="39" t="n">
        <v>13</v>
      </c>
      <c r="G179" s="40" t="n">
        <v>0</v>
      </c>
      <c r="H179" s="8" t="str">
        <f aca="false">IF($A179="","",IFERROR(INDEX(Products!$B$2:$B$50,MATCH($E179,Products!$A$2:$A$50,0)),"Unmapped"))</f>
        <v>Electronics</v>
      </c>
      <c r="I179" s="41" t="n">
        <f aca="false">IF($A179="","",IFERROR(INDEX(Products!$C$2:$C$50,MATCH($E179,Products!$A$2:$A$50,0)),0))</f>
        <v>650</v>
      </c>
      <c r="J179" s="41" t="n">
        <f aca="false">IF($A179="","",IFERROR(INDEX(Products!$D$2:$D$50,MATCH($E179,Products!$A$2:$A$50,0)),0))</f>
        <v>430</v>
      </c>
      <c r="K179" s="41" t="n">
        <f aca="false">IF($A179="","",$F179*$I179*(1-$G179))</f>
        <v>8450</v>
      </c>
      <c r="L179" s="41" t="n">
        <f aca="false">IF($A179="","",$F179*$J179)</f>
        <v>5590</v>
      </c>
      <c r="M179" s="41" t="n">
        <f aca="false">IF($A179="","",$K179-$L179)</f>
        <v>2860</v>
      </c>
    </row>
    <row r="180" customFormat="false" ht="15" hidden="false" customHeight="false" outlineLevel="0" collapsed="false">
      <c r="A180" s="37" t="s">
        <v>279</v>
      </c>
      <c r="B180" s="38" t="n">
        <v>45827</v>
      </c>
      <c r="C180" s="37" t="s">
        <v>78</v>
      </c>
      <c r="D180" s="37" t="s">
        <v>79</v>
      </c>
      <c r="E180" s="37" t="s">
        <v>114</v>
      </c>
      <c r="F180" s="39" t="n">
        <v>14</v>
      </c>
      <c r="G180" s="40" t="n">
        <v>0.05</v>
      </c>
      <c r="H180" s="8" t="str">
        <f aca="false">IF($A180="","",IFERROR(INDEX(Products!$B$2:$B$50,MATCH($E180,Products!$A$2:$A$50,0)),"Unmapped"))</f>
        <v>Pantry</v>
      </c>
      <c r="I180" s="41" t="n">
        <f aca="false">IF($A180="","",IFERROR(INDEX(Products!$C$2:$C$50,MATCH($E180,Products!$A$2:$A$50,0)),0))</f>
        <v>1500</v>
      </c>
      <c r="J180" s="41" t="n">
        <f aca="false">IF($A180="","",IFERROR(INDEX(Products!$D$2:$D$50,MATCH($E180,Products!$A$2:$A$50,0)),0))</f>
        <v>1100</v>
      </c>
      <c r="K180" s="41" t="n">
        <f aca="false">IF($A180="","",$F180*$I180*(1-$G180))</f>
        <v>19950</v>
      </c>
      <c r="L180" s="41" t="n">
        <f aca="false">IF($A180="","",$F180*$J180)</f>
        <v>15400</v>
      </c>
      <c r="M180" s="41" t="n">
        <f aca="false">IF($A180="","",$K180-$L180)</f>
        <v>4550</v>
      </c>
    </row>
    <row r="181" customFormat="false" ht="15" hidden="false" customHeight="false" outlineLevel="0" collapsed="false">
      <c r="A181" s="37" t="s">
        <v>280</v>
      </c>
      <c r="B181" s="38" t="n">
        <v>45828</v>
      </c>
      <c r="C181" s="37" t="s">
        <v>78</v>
      </c>
      <c r="D181" s="37" t="s">
        <v>86</v>
      </c>
      <c r="E181" s="37" t="s">
        <v>90</v>
      </c>
      <c r="F181" s="39" t="n">
        <v>74</v>
      </c>
      <c r="G181" s="40" t="n">
        <v>0.1</v>
      </c>
      <c r="H181" s="8" t="str">
        <f aca="false">IF($A181="","",IFERROR(INDEX(Products!$B$2:$B$50,MATCH($E181,Products!$A$2:$A$50,0)),"Unmapped"))</f>
        <v>Stationery</v>
      </c>
      <c r="I181" s="41" t="n">
        <f aca="false">IF($A181="","",IFERROR(INDEX(Products!$C$2:$C$50,MATCH($E181,Products!$A$2:$A$50,0)),0))</f>
        <v>120</v>
      </c>
      <c r="J181" s="41" t="n">
        <f aca="false">IF($A181="","",IFERROR(INDEX(Products!$D$2:$D$50,MATCH($E181,Products!$A$2:$A$50,0)),0))</f>
        <v>80</v>
      </c>
      <c r="K181" s="41" t="n">
        <f aca="false">IF($A181="","",$F181*$I181*(1-$G181))</f>
        <v>7992</v>
      </c>
      <c r="L181" s="41" t="n">
        <f aca="false">IF($A181="","",$F181*$J181)</f>
        <v>5920</v>
      </c>
      <c r="M181" s="41" t="n">
        <f aca="false">IF($A181="","",$K181-$L181)</f>
        <v>2072</v>
      </c>
    </row>
    <row r="182" customFormat="false" ht="15" hidden="false" customHeight="false" outlineLevel="0" collapsed="false">
      <c r="A182" s="37" t="s">
        <v>281</v>
      </c>
      <c r="B182" s="38" t="n">
        <v>45828</v>
      </c>
      <c r="C182" s="37" t="s">
        <v>88</v>
      </c>
      <c r="D182" s="37" t="s">
        <v>89</v>
      </c>
      <c r="E182" s="37" t="s">
        <v>134</v>
      </c>
      <c r="F182" s="39" t="n">
        <v>9</v>
      </c>
      <c r="G182" s="40" t="n">
        <v>0.1</v>
      </c>
      <c r="H182" s="8" t="str">
        <f aca="false">IF($A182="","",IFERROR(INDEX(Products!$B$2:$B$50,MATCH($E182,Products!$A$2:$A$50,0)),"Unmapped"))</f>
        <v>Furniture</v>
      </c>
      <c r="I182" s="41" t="n">
        <f aca="false">IF($A182="","",IFERROR(INDEX(Products!$C$2:$C$50,MATCH($E182,Products!$A$2:$A$50,0)),0))</f>
        <v>6100</v>
      </c>
      <c r="J182" s="41" t="n">
        <f aca="false">IF($A182="","",IFERROR(INDEX(Products!$D$2:$D$50,MATCH($E182,Products!$A$2:$A$50,0)),0))</f>
        <v>4500</v>
      </c>
      <c r="K182" s="41" t="n">
        <f aca="false">IF($A182="","",$F182*$I182*(1-$G182))</f>
        <v>49410</v>
      </c>
      <c r="L182" s="41" t="n">
        <f aca="false">IF($A182="","",$F182*$J182)</f>
        <v>40500</v>
      </c>
      <c r="M182" s="41" t="n">
        <f aca="false">IF($A182="","",$K182-$L182)</f>
        <v>8910</v>
      </c>
    </row>
    <row r="183" customFormat="false" ht="15" hidden="false" customHeight="false" outlineLevel="0" collapsed="false">
      <c r="A183" s="37" t="s">
        <v>282</v>
      </c>
      <c r="B183" s="38" t="n">
        <v>45829</v>
      </c>
      <c r="C183" s="37" t="s">
        <v>105</v>
      </c>
      <c r="D183" s="37" t="s">
        <v>106</v>
      </c>
      <c r="E183" s="37" t="s">
        <v>121</v>
      </c>
      <c r="F183" s="39" t="n">
        <v>27</v>
      </c>
      <c r="G183" s="40" t="n">
        <v>0.05</v>
      </c>
      <c r="H183" s="8" t="str">
        <f aca="false">IF($A183="","",IFERROR(INDEX(Products!$B$2:$B$50,MATCH($E183,Products!$A$2:$A$50,0)),"Unmapped"))</f>
        <v>Electronics</v>
      </c>
      <c r="I183" s="41" t="n">
        <f aca="false">IF($A183="","",IFERROR(INDEX(Products!$C$2:$C$50,MATCH($E183,Products!$A$2:$A$50,0)),0))</f>
        <v>650</v>
      </c>
      <c r="J183" s="41" t="n">
        <f aca="false">IF($A183="","",IFERROR(INDEX(Products!$D$2:$D$50,MATCH($E183,Products!$A$2:$A$50,0)),0))</f>
        <v>430</v>
      </c>
      <c r="K183" s="41" t="n">
        <f aca="false">IF($A183="","",$F183*$I183*(1-$G183))</f>
        <v>16672.5</v>
      </c>
      <c r="L183" s="41" t="n">
        <f aca="false">IF($A183="","",$F183*$J183)</f>
        <v>11610</v>
      </c>
      <c r="M183" s="41" t="n">
        <f aca="false">IF($A183="","",$K183-$L183)</f>
        <v>5062.5</v>
      </c>
    </row>
    <row r="184" customFormat="false" ht="15" hidden="false" customHeight="false" outlineLevel="0" collapsed="false">
      <c r="A184" s="37" t="s">
        <v>283</v>
      </c>
      <c r="B184" s="38" t="n">
        <v>45830</v>
      </c>
      <c r="C184" s="37" t="s">
        <v>78</v>
      </c>
      <c r="D184" s="37" t="s">
        <v>86</v>
      </c>
      <c r="E184" s="37" t="s">
        <v>90</v>
      </c>
      <c r="F184" s="39" t="n">
        <v>183</v>
      </c>
      <c r="G184" s="40" t="n">
        <v>0</v>
      </c>
      <c r="H184" s="8" t="str">
        <f aca="false">IF($A184="","",IFERROR(INDEX(Products!$B$2:$B$50,MATCH($E184,Products!$A$2:$A$50,0)),"Unmapped"))</f>
        <v>Stationery</v>
      </c>
      <c r="I184" s="41" t="n">
        <f aca="false">IF($A184="","",IFERROR(INDEX(Products!$C$2:$C$50,MATCH($E184,Products!$A$2:$A$50,0)),0))</f>
        <v>120</v>
      </c>
      <c r="J184" s="41" t="n">
        <f aca="false">IF($A184="","",IFERROR(INDEX(Products!$D$2:$D$50,MATCH($E184,Products!$A$2:$A$50,0)),0))</f>
        <v>80</v>
      </c>
      <c r="K184" s="41" t="n">
        <f aca="false">IF($A184="","",$F184*$I184*(1-$G184))</f>
        <v>21960</v>
      </c>
      <c r="L184" s="41" t="n">
        <f aca="false">IF($A184="","",$F184*$J184)</f>
        <v>14640</v>
      </c>
      <c r="M184" s="41" t="n">
        <f aca="false">IF($A184="","",$K184-$L184)</f>
        <v>7320</v>
      </c>
    </row>
    <row r="185" customFormat="false" ht="15" hidden="false" customHeight="false" outlineLevel="0" collapsed="false">
      <c r="A185" s="37" t="s">
        <v>284</v>
      </c>
      <c r="B185" s="38" t="n">
        <v>45831</v>
      </c>
      <c r="C185" s="37" t="s">
        <v>78</v>
      </c>
      <c r="D185" s="37" t="s">
        <v>79</v>
      </c>
      <c r="E185" s="37" t="s">
        <v>94</v>
      </c>
      <c r="F185" s="39" t="n">
        <v>30</v>
      </c>
      <c r="G185" s="40" t="n">
        <v>0.05</v>
      </c>
      <c r="H185" s="8" t="str">
        <f aca="false">IF($A185="","",IFERROR(INDEX(Products!$B$2:$B$50,MATCH($E185,Products!$A$2:$A$50,0)),"Unmapped"))</f>
        <v>Stationery</v>
      </c>
      <c r="I185" s="41" t="n">
        <f aca="false">IF($A185="","",IFERROR(INDEX(Products!$C$2:$C$50,MATCH($E185,Products!$A$2:$A$50,0)),0))</f>
        <v>280</v>
      </c>
      <c r="J185" s="41" t="n">
        <f aca="false">IF($A185="","",IFERROR(INDEX(Products!$D$2:$D$50,MATCH($E185,Products!$A$2:$A$50,0)),0))</f>
        <v>210</v>
      </c>
      <c r="K185" s="41" t="n">
        <f aca="false">IF($A185="","",$F185*$I185*(1-$G185))</f>
        <v>7980</v>
      </c>
      <c r="L185" s="41" t="n">
        <f aca="false">IF($A185="","",$F185*$J185)</f>
        <v>6300</v>
      </c>
      <c r="M185" s="41" t="n">
        <f aca="false">IF($A185="","",$K185-$L185)</f>
        <v>1680</v>
      </c>
    </row>
    <row r="186" customFormat="false" ht="15" hidden="false" customHeight="false" outlineLevel="0" collapsed="false">
      <c r="A186" s="37" t="s">
        <v>285</v>
      </c>
      <c r="B186" s="38" t="n">
        <v>45831</v>
      </c>
      <c r="C186" s="37" t="s">
        <v>78</v>
      </c>
      <c r="D186" s="37" t="s">
        <v>86</v>
      </c>
      <c r="E186" s="37" t="s">
        <v>114</v>
      </c>
      <c r="F186" s="39" t="n">
        <v>9</v>
      </c>
      <c r="G186" s="40" t="n">
        <v>0.15</v>
      </c>
      <c r="H186" s="8" t="str">
        <f aca="false">IF($A186="","",IFERROR(INDEX(Products!$B$2:$B$50,MATCH($E186,Products!$A$2:$A$50,0)),"Unmapped"))</f>
        <v>Pantry</v>
      </c>
      <c r="I186" s="41" t="n">
        <f aca="false">IF($A186="","",IFERROR(INDEX(Products!$C$2:$C$50,MATCH($E186,Products!$A$2:$A$50,0)),0))</f>
        <v>1500</v>
      </c>
      <c r="J186" s="41" t="n">
        <f aca="false">IF($A186="","",IFERROR(INDEX(Products!$D$2:$D$50,MATCH($E186,Products!$A$2:$A$50,0)),0))</f>
        <v>1100</v>
      </c>
      <c r="K186" s="41" t="n">
        <f aca="false">IF($A186="","",$F186*$I186*(1-$G186))</f>
        <v>11475</v>
      </c>
      <c r="L186" s="41" t="n">
        <f aca="false">IF($A186="","",$F186*$J186)</f>
        <v>9900</v>
      </c>
      <c r="M186" s="41" t="n">
        <f aca="false">IF($A186="","",$K186-$L186)</f>
        <v>1575</v>
      </c>
    </row>
    <row r="187" customFormat="false" ht="15" hidden="false" customHeight="false" outlineLevel="0" collapsed="false">
      <c r="A187" s="37" t="s">
        <v>286</v>
      </c>
      <c r="B187" s="38" t="n">
        <v>45832</v>
      </c>
      <c r="C187" s="37" t="s">
        <v>88</v>
      </c>
      <c r="D187" s="37" t="s">
        <v>111</v>
      </c>
      <c r="E187" s="37" t="s">
        <v>90</v>
      </c>
      <c r="F187" s="39" t="n">
        <v>80</v>
      </c>
      <c r="G187" s="40" t="n">
        <v>0.05</v>
      </c>
      <c r="H187" s="8" t="str">
        <f aca="false">IF($A187="","",IFERROR(INDEX(Products!$B$2:$B$50,MATCH($E187,Products!$A$2:$A$50,0)),"Unmapped"))</f>
        <v>Stationery</v>
      </c>
      <c r="I187" s="41" t="n">
        <f aca="false">IF($A187="","",IFERROR(INDEX(Products!$C$2:$C$50,MATCH($E187,Products!$A$2:$A$50,0)),0))</f>
        <v>120</v>
      </c>
      <c r="J187" s="41" t="n">
        <f aca="false">IF($A187="","",IFERROR(INDEX(Products!$D$2:$D$50,MATCH($E187,Products!$A$2:$A$50,0)),0))</f>
        <v>80</v>
      </c>
      <c r="K187" s="41" t="n">
        <f aca="false">IF($A187="","",$F187*$I187*(1-$G187))</f>
        <v>9120</v>
      </c>
      <c r="L187" s="41" t="n">
        <f aca="false">IF($A187="","",$F187*$J187)</f>
        <v>6400</v>
      </c>
      <c r="M187" s="41" t="n">
        <f aca="false">IF($A187="","",$K187-$L187)</f>
        <v>2720</v>
      </c>
    </row>
    <row r="188" customFormat="false" ht="15" hidden="false" customHeight="false" outlineLevel="0" collapsed="false">
      <c r="A188" s="37" t="s">
        <v>287</v>
      </c>
      <c r="B188" s="38" t="n">
        <v>45832</v>
      </c>
      <c r="C188" s="37" t="s">
        <v>88</v>
      </c>
      <c r="D188" s="37" t="s">
        <v>111</v>
      </c>
      <c r="E188" s="37" t="s">
        <v>90</v>
      </c>
      <c r="F188" s="39" t="n">
        <v>20</v>
      </c>
      <c r="G188" s="40" t="n">
        <v>0.15</v>
      </c>
      <c r="H188" s="8" t="str">
        <f aca="false">IF($A188="","",IFERROR(INDEX(Products!$B$2:$B$50,MATCH($E188,Products!$A$2:$A$50,0)),"Unmapped"))</f>
        <v>Stationery</v>
      </c>
      <c r="I188" s="41" t="n">
        <f aca="false">IF($A188="","",IFERROR(INDEX(Products!$C$2:$C$50,MATCH($E188,Products!$A$2:$A$50,0)),0))</f>
        <v>120</v>
      </c>
      <c r="J188" s="41" t="n">
        <f aca="false">IF($A188="","",IFERROR(INDEX(Products!$D$2:$D$50,MATCH($E188,Products!$A$2:$A$50,0)),0))</f>
        <v>80</v>
      </c>
      <c r="K188" s="41" t="n">
        <f aca="false">IF($A188="","",$F188*$I188*(1-$G188))</f>
        <v>2040</v>
      </c>
      <c r="L188" s="41" t="n">
        <f aca="false">IF($A188="","",$F188*$J188)</f>
        <v>1600</v>
      </c>
      <c r="M188" s="41" t="n">
        <f aca="false">IF($A188="","",$K188-$L188)</f>
        <v>440</v>
      </c>
    </row>
    <row r="189" customFormat="false" ht="15" hidden="false" customHeight="false" outlineLevel="0" collapsed="false">
      <c r="A189" s="37" t="s">
        <v>288</v>
      </c>
      <c r="B189" s="38" t="n">
        <v>45833</v>
      </c>
      <c r="C189" s="37" t="s">
        <v>82</v>
      </c>
      <c r="D189" s="37" t="s">
        <v>83</v>
      </c>
      <c r="E189" s="37" t="s">
        <v>84</v>
      </c>
      <c r="F189" s="39" t="n">
        <v>139</v>
      </c>
      <c r="G189" s="40" t="n">
        <v>0</v>
      </c>
      <c r="H189" s="8" t="str">
        <f aca="false">IF($A189="","",IFERROR(INDEX(Products!$B$2:$B$50,MATCH($E189,Products!$A$2:$A$50,0)),"Unmapped"))</f>
        <v>Stationery</v>
      </c>
      <c r="I189" s="41" t="n">
        <f aca="false">IF($A189="","",IFERROR(INDEX(Products!$C$2:$C$50,MATCH($E189,Products!$A$2:$A$50,0)),0))</f>
        <v>350</v>
      </c>
      <c r="J189" s="41" t="n">
        <f aca="false">IF($A189="","",IFERROR(INDEX(Products!$D$2:$D$50,MATCH($E189,Products!$A$2:$A$50,0)),0))</f>
        <v>240</v>
      </c>
      <c r="K189" s="41" t="n">
        <f aca="false">IF($A189="","",$F189*$I189*(1-$G189))</f>
        <v>48650</v>
      </c>
      <c r="L189" s="41" t="n">
        <f aca="false">IF($A189="","",$F189*$J189)</f>
        <v>33360</v>
      </c>
      <c r="M189" s="41" t="n">
        <f aca="false">IF($A189="","",$K189-$L189)</f>
        <v>15290</v>
      </c>
    </row>
    <row r="190" customFormat="false" ht="15" hidden="false" customHeight="false" outlineLevel="0" collapsed="false">
      <c r="A190" s="37" t="s">
        <v>289</v>
      </c>
      <c r="B190" s="38" t="n">
        <v>45837</v>
      </c>
      <c r="C190" s="37" t="s">
        <v>105</v>
      </c>
      <c r="D190" s="37" t="s">
        <v>116</v>
      </c>
      <c r="E190" s="37" t="s">
        <v>107</v>
      </c>
      <c r="F190" s="39" t="n">
        <v>12</v>
      </c>
      <c r="G190" s="40" t="n">
        <v>0.05</v>
      </c>
      <c r="H190" s="8" t="str">
        <f aca="false">IF($A190="","",IFERROR(INDEX(Products!$B$2:$B$50,MATCH($E190,Products!$A$2:$A$50,0)),"Unmapped"))</f>
        <v>Furniture</v>
      </c>
      <c r="I190" s="41" t="n">
        <f aca="false">IF($A190="","",IFERROR(INDEX(Products!$C$2:$C$50,MATCH($E190,Products!$A$2:$A$50,0)),0))</f>
        <v>7200</v>
      </c>
      <c r="J190" s="41" t="n">
        <f aca="false">IF($A190="","",IFERROR(INDEX(Products!$D$2:$D$50,MATCH($E190,Products!$A$2:$A$50,0)),0))</f>
        <v>5400</v>
      </c>
      <c r="K190" s="41" t="n">
        <f aca="false">IF($A190="","",$F190*$I190*(1-$G190))</f>
        <v>82080</v>
      </c>
      <c r="L190" s="41" t="n">
        <f aca="false">IF($A190="","",$F190*$J190)</f>
        <v>64800</v>
      </c>
      <c r="M190" s="41" t="n">
        <f aca="false">IF($A190="","",$K190-$L190)</f>
        <v>17280</v>
      </c>
    </row>
    <row r="191" customFormat="false" ht="15" hidden="false" customHeight="false" outlineLevel="0" collapsed="false">
      <c r="A191" s="37" t="s">
        <v>290</v>
      </c>
      <c r="B191" s="38" t="n">
        <v>45837</v>
      </c>
      <c r="C191" s="37" t="s">
        <v>105</v>
      </c>
      <c r="D191" s="37" t="s">
        <v>106</v>
      </c>
      <c r="E191" s="37" t="s">
        <v>96</v>
      </c>
      <c r="F191" s="39" t="n">
        <v>12</v>
      </c>
      <c r="G191" s="40" t="n">
        <v>0.05</v>
      </c>
      <c r="H191" s="8" t="str">
        <f aca="false">IF($A191="","",IFERROR(INDEX(Products!$B$2:$B$50,MATCH($E191,Products!$A$2:$A$50,0)),"Unmapped"))</f>
        <v>Furniture</v>
      </c>
      <c r="I191" s="41" t="n">
        <f aca="false">IF($A191="","",IFERROR(INDEX(Products!$C$2:$C$50,MATCH($E191,Products!$A$2:$A$50,0)),0))</f>
        <v>4800</v>
      </c>
      <c r="J191" s="41" t="n">
        <f aca="false">IF($A191="","",IFERROR(INDEX(Products!$D$2:$D$50,MATCH($E191,Products!$A$2:$A$50,0)),0))</f>
        <v>3500</v>
      </c>
      <c r="K191" s="41" t="n">
        <f aca="false">IF($A191="","",$F191*$I191*(1-$G191))</f>
        <v>54720</v>
      </c>
      <c r="L191" s="41" t="n">
        <f aca="false">IF($A191="","",$F191*$J191)</f>
        <v>42000</v>
      </c>
      <c r="M191" s="41" t="n">
        <f aca="false">IF($A191="","",$K191-$L191)</f>
        <v>12720</v>
      </c>
    </row>
    <row r="192" customFormat="false" ht="15" hidden="false" customHeight="false" outlineLevel="0" collapsed="false">
      <c r="A192" s="37" t="s">
        <v>291</v>
      </c>
      <c r="B192" s="38" t="n">
        <v>45837</v>
      </c>
      <c r="C192" s="37" t="s">
        <v>82</v>
      </c>
      <c r="D192" s="37" t="s">
        <v>93</v>
      </c>
      <c r="E192" s="37" t="s">
        <v>84</v>
      </c>
      <c r="F192" s="39" t="n">
        <v>194</v>
      </c>
      <c r="G192" s="40" t="n">
        <v>0.15</v>
      </c>
      <c r="H192" s="8" t="str">
        <f aca="false">IF($A192="","",IFERROR(INDEX(Products!$B$2:$B$50,MATCH($E192,Products!$A$2:$A$50,0)),"Unmapped"))</f>
        <v>Stationery</v>
      </c>
      <c r="I192" s="41" t="n">
        <f aca="false">IF($A192="","",IFERROR(INDEX(Products!$C$2:$C$50,MATCH($E192,Products!$A$2:$A$50,0)),0))</f>
        <v>350</v>
      </c>
      <c r="J192" s="41" t="n">
        <f aca="false">IF($A192="","",IFERROR(INDEX(Products!$D$2:$D$50,MATCH($E192,Products!$A$2:$A$50,0)),0))</f>
        <v>240</v>
      </c>
      <c r="K192" s="41" t="n">
        <f aca="false">IF($A192="","",$F192*$I192*(1-$G192))</f>
        <v>57715</v>
      </c>
      <c r="L192" s="41" t="n">
        <f aca="false">IF($A192="","",$F192*$J192)</f>
        <v>46560</v>
      </c>
      <c r="M192" s="41" t="n">
        <f aca="false">IF($A192="","",$K192-$L192)</f>
        <v>11155</v>
      </c>
    </row>
    <row r="193" customFormat="false" ht="15" hidden="false" customHeight="false" outlineLevel="0" collapsed="false">
      <c r="A193" s="37" t="s">
        <v>292</v>
      </c>
      <c r="B193" s="38" t="n">
        <v>45838</v>
      </c>
      <c r="C193" s="37" t="s">
        <v>88</v>
      </c>
      <c r="D193" s="37" t="s">
        <v>111</v>
      </c>
      <c r="E193" s="37" t="s">
        <v>121</v>
      </c>
      <c r="F193" s="39" t="n">
        <v>28</v>
      </c>
      <c r="G193" s="40" t="n">
        <v>0.1</v>
      </c>
      <c r="H193" s="8" t="str">
        <f aca="false">IF($A193="","",IFERROR(INDEX(Products!$B$2:$B$50,MATCH($E193,Products!$A$2:$A$50,0)),"Unmapped"))</f>
        <v>Electronics</v>
      </c>
      <c r="I193" s="41" t="n">
        <f aca="false">IF($A193="","",IFERROR(INDEX(Products!$C$2:$C$50,MATCH($E193,Products!$A$2:$A$50,0)),0))</f>
        <v>650</v>
      </c>
      <c r="J193" s="41" t="n">
        <f aca="false">IF($A193="","",IFERROR(INDEX(Products!$D$2:$D$50,MATCH($E193,Products!$A$2:$A$50,0)),0))</f>
        <v>430</v>
      </c>
      <c r="K193" s="41" t="n">
        <f aca="false">IF($A193="","",$F193*$I193*(1-$G193))</f>
        <v>16380</v>
      </c>
      <c r="L193" s="41" t="n">
        <f aca="false">IF($A193="","",$F193*$J193)</f>
        <v>12040</v>
      </c>
      <c r="M193" s="41" t="n">
        <f aca="false">IF($A193="","",$K193-$L193)</f>
        <v>4340</v>
      </c>
    </row>
    <row r="194" customFormat="false" ht="15" hidden="false" customHeight="false" outlineLevel="0" collapsed="false">
      <c r="A194" s="37" t="s">
        <v>293</v>
      </c>
      <c r="B194" s="38" t="n">
        <v>45840</v>
      </c>
      <c r="C194" s="37" t="s">
        <v>78</v>
      </c>
      <c r="D194" s="37" t="s">
        <v>79</v>
      </c>
      <c r="E194" s="37" t="s">
        <v>84</v>
      </c>
      <c r="F194" s="39" t="n">
        <v>169</v>
      </c>
      <c r="G194" s="40" t="n">
        <v>0.15</v>
      </c>
      <c r="H194" s="8" t="str">
        <f aca="false">IF($A194="","",IFERROR(INDEX(Products!$B$2:$B$50,MATCH($E194,Products!$A$2:$A$50,0)),"Unmapped"))</f>
        <v>Stationery</v>
      </c>
      <c r="I194" s="41" t="n">
        <f aca="false">IF($A194="","",IFERROR(INDEX(Products!$C$2:$C$50,MATCH($E194,Products!$A$2:$A$50,0)),0))</f>
        <v>350</v>
      </c>
      <c r="J194" s="41" t="n">
        <f aca="false">IF($A194="","",IFERROR(INDEX(Products!$D$2:$D$50,MATCH($E194,Products!$A$2:$A$50,0)),0))</f>
        <v>240</v>
      </c>
      <c r="K194" s="41" t="n">
        <f aca="false">IF($A194="","",$F194*$I194*(1-$G194))</f>
        <v>50277.5</v>
      </c>
      <c r="L194" s="41" t="n">
        <f aca="false">IF($A194="","",$F194*$J194)</f>
        <v>40560</v>
      </c>
      <c r="M194" s="41" t="n">
        <f aca="false">IF($A194="","",$K194-$L194)</f>
        <v>9717.5</v>
      </c>
    </row>
    <row r="195" customFormat="false" ht="15" hidden="false" customHeight="false" outlineLevel="0" collapsed="false">
      <c r="A195" s="37" t="s">
        <v>294</v>
      </c>
      <c r="B195" s="38" t="n">
        <v>45840</v>
      </c>
      <c r="C195" s="37" t="s">
        <v>78</v>
      </c>
      <c r="D195" s="37" t="s">
        <v>79</v>
      </c>
      <c r="E195" s="37" t="s">
        <v>90</v>
      </c>
      <c r="F195" s="39" t="n">
        <v>103</v>
      </c>
      <c r="G195" s="40" t="n">
        <v>0</v>
      </c>
      <c r="H195" s="8" t="str">
        <f aca="false">IF($A195="","",IFERROR(INDEX(Products!$B$2:$B$50,MATCH($E195,Products!$A$2:$A$50,0)),"Unmapped"))</f>
        <v>Stationery</v>
      </c>
      <c r="I195" s="41" t="n">
        <f aca="false">IF($A195="","",IFERROR(INDEX(Products!$C$2:$C$50,MATCH($E195,Products!$A$2:$A$50,0)),0))</f>
        <v>120</v>
      </c>
      <c r="J195" s="41" t="n">
        <f aca="false">IF($A195="","",IFERROR(INDEX(Products!$D$2:$D$50,MATCH($E195,Products!$A$2:$A$50,0)),0))</f>
        <v>80</v>
      </c>
      <c r="K195" s="41" t="n">
        <f aca="false">IF($A195="","",$F195*$I195*(1-$G195))</f>
        <v>12360</v>
      </c>
      <c r="L195" s="41" t="n">
        <f aca="false">IF($A195="","",$F195*$J195)</f>
        <v>8240</v>
      </c>
      <c r="M195" s="41" t="n">
        <f aca="false">IF($A195="","",$K195-$L195)</f>
        <v>4120</v>
      </c>
    </row>
    <row r="196" customFormat="false" ht="15" hidden="false" customHeight="false" outlineLevel="0" collapsed="false">
      <c r="A196" s="37" t="s">
        <v>295</v>
      </c>
      <c r="B196" s="38" t="n">
        <v>45841</v>
      </c>
      <c r="C196" s="37" t="s">
        <v>105</v>
      </c>
      <c r="D196" s="37" t="s">
        <v>116</v>
      </c>
      <c r="E196" s="37" t="s">
        <v>134</v>
      </c>
      <c r="F196" s="39" t="n">
        <v>12</v>
      </c>
      <c r="G196" s="40" t="n">
        <v>0.05</v>
      </c>
      <c r="H196" s="8" t="str">
        <f aca="false">IF($A196="","",IFERROR(INDEX(Products!$B$2:$B$50,MATCH($E196,Products!$A$2:$A$50,0)),"Unmapped"))</f>
        <v>Furniture</v>
      </c>
      <c r="I196" s="41" t="n">
        <f aca="false">IF($A196="","",IFERROR(INDEX(Products!$C$2:$C$50,MATCH($E196,Products!$A$2:$A$50,0)),0))</f>
        <v>6100</v>
      </c>
      <c r="J196" s="41" t="n">
        <f aca="false">IF($A196="","",IFERROR(INDEX(Products!$D$2:$D$50,MATCH($E196,Products!$A$2:$A$50,0)),0))</f>
        <v>4500</v>
      </c>
      <c r="K196" s="41" t="n">
        <f aca="false">IF($A196="","",$F196*$I196*(1-$G196))</f>
        <v>69540</v>
      </c>
      <c r="L196" s="41" t="n">
        <f aca="false">IF($A196="","",$F196*$J196)</f>
        <v>54000</v>
      </c>
      <c r="M196" s="41" t="n">
        <f aca="false">IF($A196="","",$K196-$L196)</f>
        <v>15540</v>
      </c>
    </row>
    <row r="197" customFormat="false" ht="15" hidden="false" customHeight="false" outlineLevel="0" collapsed="false">
      <c r="A197" s="37" t="s">
        <v>296</v>
      </c>
      <c r="B197" s="38" t="n">
        <v>45842</v>
      </c>
      <c r="C197" s="37" t="s">
        <v>78</v>
      </c>
      <c r="D197" s="37" t="s">
        <v>86</v>
      </c>
      <c r="E197" s="37" t="s">
        <v>84</v>
      </c>
      <c r="F197" s="39" t="n">
        <v>114</v>
      </c>
      <c r="G197" s="40" t="n">
        <v>0.05</v>
      </c>
      <c r="H197" s="8" t="str">
        <f aca="false">IF($A197="","",IFERROR(INDEX(Products!$B$2:$B$50,MATCH($E197,Products!$A$2:$A$50,0)),"Unmapped"))</f>
        <v>Stationery</v>
      </c>
      <c r="I197" s="41" t="n">
        <f aca="false">IF($A197="","",IFERROR(INDEX(Products!$C$2:$C$50,MATCH($E197,Products!$A$2:$A$50,0)),0))</f>
        <v>350</v>
      </c>
      <c r="J197" s="41" t="n">
        <f aca="false">IF($A197="","",IFERROR(INDEX(Products!$D$2:$D$50,MATCH($E197,Products!$A$2:$A$50,0)),0))</f>
        <v>240</v>
      </c>
      <c r="K197" s="41" t="n">
        <f aca="false">IF($A197="","",$F197*$I197*(1-$G197))</f>
        <v>37905</v>
      </c>
      <c r="L197" s="41" t="n">
        <f aca="false">IF($A197="","",$F197*$J197)</f>
        <v>27360</v>
      </c>
      <c r="M197" s="41" t="n">
        <f aca="false">IF($A197="","",$K197-$L197)</f>
        <v>10545</v>
      </c>
    </row>
    <row r="198" customFormat="false" ht="15" hidden="false" customHeight="false" outlineLevel="0" collapsed="false">
      <c r="A198" s="37" t="s">
        <v>297</v>
      </c>
      <c r="B198" s="38" t="n">
        <v>45842</v>
      </c>
      <c r="C198" s="37" t="s">
        <v>105</v>
      </c>
      <c r="D198" s="37" t="s">
        <v>116</v>
      </c>
      <c r="E198" s="37" t="s">
        <v>103</v>
      </c>
      <c r="F198" s="39" t="n">
        <v>12</v>
      </c>
      <c r="G198" s="40" t="n">
        <v>0.15</v>
      </c>
      <c r="H198" s="8" t="str">
        <f aca="false">IF($A198="","",IFERROR(INDEX(Products!$B$2:$B$50,MATCH($E198,Products!$A$2:$A$50,0)),"Unmapped"))</f>
        <v>Electronics</v>
      </c>
      <c r="I198" s="41" t="n">
        <f aca="false">IF($A198="","",IFERROR(INDEX(Products!$C$2:$C$50,MATCH($E198,Products!$A$2:$A$50,0)),0))</f>
        <v>900</v>
      </c>
      <c r="J198" s="41" t="n">
        <f aca="false">IF($A198="","",IFERROR(INDEX(Products!$D$2:$D$50,MATCH($E198,Products!$A$2:$A$50,0)),0))</f>
        <v>620</v>
      </c>
      <c r="K198" s="41" t="n">
        <f aca="false">IF($A198="","",$F198*$I198*(1-$G198))</f>
        <v>9180</v>
      </c>
      <c r="L198" s="41" t="n">
        <f aca="false">IF($A198="","",$F198*$J198)</f>
        <v>7440</v>
      </c>
      <c r="M198" s="41" t="n">
        <f aca="false">IF($A198="","",$K198-$L198)</f>
        <v>1740</v>
      </c>
    </row>
    <row r="199" customFormat="false" ht="15" hidden="false" customHeight="false" outlineLevel="0" collapsed="false">
      <c r="A199" s="37" t="s">
        <v>298</v>
      </c>
      <c r="B199" s="38" t="n">
        <v>45843</v>
      </c>
      <c r="C199" s="37" t="s">
        <v>78</v>
      </c>
      <c r="D199" s="37" t="s">
        <v>79</v>
      </c>
      <c r="E199" s="37" t="s">
        <v>114</v>
      </c>
      <c r="F199" s="39" t="n">
        <v>31</v>
      </c>
      <c r="G199" s="40" t="n">
        <v>0</v>
      </c>
      <c r="H199" s="8" t="str">
        <f aca="false">IF($A199="","",IFERROR(INDEX(Products!$B$2:$B$50,MATCH($E199,Products!$A$2:$A$50,0)),"Unmapped"))</f>
        <v>Pantry</v>
      </c>
      <c r="I199" s="41" t="n">
        <f aca="false">IF($A199="","",IFERROR(INDEX(Products!$C$2:$C$50,MATCH($E199,Products!$A$2:$A$50,0)),0))</f>
        <v>1500</v>
      </c>
      <c r="J199" s="41" t="n">
        <f aca="false">IF($A199="","",IFERROR(INDEX(Products!$D$2:$D$50,MATCH($E199,Products!$A$2:$A$50,0)),0))</f>
        <v>1100</v>
      </c>
      <c r="K199" s="41" t="n">
        <f aca="false">IF($A199="","",$F199*$I199*(1-$G199))</f>
        <v>46500</v>
      </c>
      <c r="L199" s="41" t="n">
        <f aca="false">IF($A199="","",$F199*$J199)</f>
        <v>34100</v>
      </c>
      <c r="M199" s="41" t="n">
        <f aca="false">IF($A199="","",$K199-$L199)</f>
        <v>12400</v>
      </c>
    </row>
    <row r="200" customFormat="false" ht="15" hidden="false" customHeight="false" outlineLevel="0" collapsed="false">
      <c r="A200" s="37" t="s">
        <v>299</v>
      </c>
      <c r="B200" s="38" t="n">
        <v>45844</v>
      </c>
      <c r="C200" s="37" t="s">
        <v>105</v>
      </c>
      <c r="D200" s="37" t="s">
        <v>116</v>
      </c>
      <c r="E200" s="37" t="s">
        <v>114</v>
      </c>
      <c r="F200" s="39" t="n">
        <v>10</v>
      </c>
      <c r="G200" s="40" t="n">
        <v>0.05</v>
      </c>
      <c r="H200" s="8" t="str">
        <f aca="false">IF($A200="","",IFERROR(INDEX(Products!$B$2:$B$50,MATCH($E200,Products!$A$2:$A$50,0)),"Unmapped"))</f>
        <v>Pantry</v>
      </c>
      <c r="I200" s="41" t="n">
        <f aca="false">IF($A200="","",IFERROR(INDEX(Products!$C$2:$C$50,MATCH($E200,Products!$A$2:$A$50,0)),0))</f>
        <v>1500</v>
      </c>
      <c r="J200" s="41" t="n">
        <f aca="false">IF($A200="","",IFERROR(INDEX(Products!$D$2:$D$50,MATCH($E200,Products!$A$2:$A$50,0)),0))</f>
        <v>1100</v>
      </c>
      <c r="K200" s="41" t="n">
        <f aca="false">IF($A200="","",$F200*$I200*(1-$G200))</f>
        <v>14250</v>
      </c>
      <c r="L200" s="41" t="n">
        <f aca="false">IF($A200="","",$F200*$J200)</f>
        <v>11000</v>
      </c>
      <c r="M200" s="41" t="n">
        <f aca="false">IF($A200="","",$K200-$L200)</f>
        <v>3250</v>
      </c>
    </row>
    <row r="201" customFormat="false" ht="15" hidden="false" customHeight="false" outlineLevel="0" collapsed="false">
      <c r="A201" s="37" t="s">
        <v>300</v>
      </c>
      <c r="B201" s="38" t="n">
        <v>45845</v>
      </c>
      <c r="C201" s="37" t="s">
        <v>105</v>
      </c>
      <c r="D201" s="37" t="s">
        <v>106</v>
      </c>
      <c r="E201" s="37" t="s">
        <v>90</v>
      </c>
      <c r="F201" s="39" t="n">
        <v>20</v>
      </c>
      <c r="G201" s="40" t="n">
        <v>0.15</v>
      </c>
      <c r="H201" s="8" t="str">
        <f aca="false">IF($A201="","",IFERROR(INDEX(Products!$B$2:$B$50,MATCH($E201,Products!$A$2:$A$50,0)),"Unmapped"))</f>
        <v>Stationery</v>
      </c>
      <c r="I201" s="41" t="n">
        <f aca="false">IF($A201="","",IFERROR(INDEX(Products!$C$2:$C$50,MATCH($E201,Products!$A$2:$A$50,0)),0))</f>
        <v>120</v>
      </c>
      <c r="J201" s="41" t="n">
        <f aca="false">IF($A201="","",IFERROR(INDEX(Products!$D$2:$D$50,MATCH($E201,Products!$A$2:$A$50,0)),0))</f>
        <v>80</v>
      </c>
      <c r="K201" s="41" t="n">
        <f aca="false">IF($A201="","",$F201*$I201*(1-$G201))</f>
        <v>2040</v>
      </c>
      <c r="L201" s="41" t="n">
        <f aca="false">IF($A201="","",$F201*$J201)</f>
        <v>1600</v>
      </c>
      <c r="M201" s="41" t="n">
        <f aca="false">IF($A201="","",$K201-$L201)</f>
        <v>440</v>
      </c>
    </row>
    <row r="202" customFormat="false" ht="15" hidden="false" customHeight="false" outlineLevel="0" collapsed="false">
      <c r="A202" s="37" t="s">
        <v>301</v>
      </c>
      <c r="B202" s="38" t="n">
        <v>45845</v>
      </c>
      <c r="C202" s="37" t="s">
        <v>78</v>
      </c>
      <c r="D202" s="37" t="s">
        <v>86</v>
      </c>
      <c r="E202" s="37" t="s">
        <v>134</v>
      </c>
      <c r="F202" s="39" t="n">
        <v>9</v>
      </c>
      <c r="G202" s="40" t="n">
        <v>0</v>
      </c>
      <c r="H202" s="8" t="str">
        <f aca="false">IF($A202="","",IFERROR(INDEX(Products!$B$2:$B$50,MATCH($E202,Products!$A$2:$A$50,0)),"Unmapped"))</f>
        <v>Furniture</v>
      </c>
      <c r="I202" s="41" t="n">
        <f aca="false">IF($A202="","",IFERROR(INDEX(Products!$C$2:$C$50,MATCH($E202,Products!$A$2:$A$50,0)),0))</f>
        <v>6100</v>
      </c>
      <c r="J202" s="41" t="n">
        <f aca="false">IF($A202="","",IFERROR(INDEX(Products!$D$2:$D$50,MATCH($E202,Products!$A$2:$A$50,0)),0))</f>
        <v>4500</v>
      </c>
      <c r="K202" s="41" t="n">
        <f aca="false">IF($A202="","",$F202*$I202*(1-$G202))</f>
        <v>54900</v>
      </c>
      <c r="L202" s="41" t="n">
        <f aca="false">IF($A202="","",$F202*$J202)</f>
        <v>40500</v>
      </c>
      <c r="M202" s="41" t="n">
        <f aca="false">IF($A202="","",$K202-$L202)</f>
        <v>14400</v>
      </c>
    </row>
    <row r="203" customFormat="false" ht="15" hidden="false" customHeight="false" outlineLevel="0" collapsed="false">
      <c r="A203" s="37" t="s">
        <v>302</v>
      </c>
      <c r="B203" s="38" t="n">
        <v>45845</v>
      </c>
      <c r="C203" s="37" t="s">
        <v>105</v>
      </c>
      <c r="D203" s="37" t="s">
        <v>116</v>
      </c>
      <c r="E203" s="37" t="s">
        <v>90</v>
      </c>
      <c r="F203" s="39" t="n">
        <v>137</v>
      </c>
      <c r="G203" s="40" t="n">
        <v>0.05</v>
      </c>
      <c r="H203" s="8" t="str">
        <f aca="false">IF($A203="","",IFERROR(INDEX(Products!$B$2:$B$50,MATCH($E203,Products!$A$2:$A$50,0)),"Unmapped"))</f>
        <v>Stationery</v>
      </c>
      <c r="I203" s="41" t="n">
        <f aca="false">IF($A203="","",IFERROR(INDEX(Products!$C$2:$C$50,MATCH($E203,Products!$A$2:$A$50,0)),0))</f>
        <v>120</v>
      </c>
      <c r="J203" s="41" t="n">
        <f aca="false">IF($A203="","",IFERROR(INDEX(Products!$D$2:$D$50,MATCH($E203,Products!$A$2:$A$50,0)),0))</f>
        <v>80</v>
      </c>
      <c r="K203" s="41" t="n">
        <f aca="false">IF($A203="","",$F203*$I203*(1-$G203))</f>
        <v>15618</v>
      </c>
      <c r="L203" s="41" t="n">
        <f aca="false">IF($A203="","",$F203*$J203)</f>
        <v>10960</v>
      </c>
      <c r="M203" s="41" t="n">
        <f aca="false">IF($A203="","",$K203-$L203)</f>
        <v>4658</v>
      </c>
    </row>
    <row r="204" customFormat="false" ht="15" hidden="false" customHeight="false" outlineLevel="0" collapsed="false">
      <c r="A204" s="37" t="s">
        <v>303</v>
      </c>
      <c r="B204" s="38" t="n">
        <v>45848</v>
      </c>
      <c r="C204" s="37" t="s">
        <v>78</v>
      </c>
      <c r="D204" s="37" t="s">
        <v>79</v>
      </c>
      <c r="E204" s="37" t="s">
        <v>157</v>
      </c>
      <c r="F204" s="39" t="n">
        <v>5</v>
      </c>
      <c r="G204" s="40" t="n">
        <v>0</v>
      </c>
      <c r="H204" s="8" t="str">
        <f aca="false">IF($A204="","",IFERROR(INDEX(Products!$B$2:$B$50,MATCH($E204,Products!$A$2:$A$50,0)),"Unmapped"))</f>
        <v>Electronics</v>
      </c>
      <c r="I204" s="41" t="n">
        <f aca="false">IF($A204="","",IFERROR(INDEX(Products!$C$2:$C$50,MATCH($E204,Products!$A$2:$A$50,0)),0))</f>
        <v>8900</v>
      </c>
      <c r="J204" s="41" t="n">
        <f aca="false">IF($A204="","",IFERROR(INDEX(Products!$D$2:$D$50,MATCH($E204,Products!$A$2:$A$50,0)),0))</f>
        <v>7000</v>
      </c>
      <c r="K204" s="41" t="n">
        <f aca="false">IF($A204="","",$F204*$I204*(1-$G204))</f>
        <v>44500</v>
      </c>
      <c r="L204" s="41" t="n">
        <f aca="false">IF($A204="","",$F204*$J204)</f>
        <v>35000</v>
      </c>
      <c r="M204" s="41" t="n">
        <f aca="false">IF($A204="","",$K204-$L204)</f>
        <v>9500</v>
      </c>
    </row>
    <row r="205" customFormat="false" ht="15" hidden="false" customHeight="false" outlineLevel="0" collapsed="false">
      <c r="A205" s="37" t="s">
        <v>304</v>
      </c>
      <c r="B205" s="38" t="n">
        <v>45848</v>
      </c>
      <c r="C205" s="37" t="s">
        <v>82</v>
      </c>
      <c r="D205" s="37" t="s">
        <v>83</v>
      </c>
      <c r="E205" s="37" t="s">
        <v>103</v>
      </c>
      <c r="F205" s="39" t="n">
        <v>25</v>
      </c>
      <c r="G205" s="40" t="n">
        <v>0.05</v>
      </c>
      <c r="H205" s="8" t="str">
        <f aca="false">IF($A205="","",IFERROR(INDEX(Products!$B$2:$B$50,MATCH($E205,Products!$A$2:$A$50,0)),"Unmapped"))</f>
        <v>Electronics</v>
      </c>
      <c r="I205" s="41" t="n">
        <f aca="false">IF($A205="","",IFERROR(INDEX(Products!$C$2:$C$50,MATCH($E205,Products!$A$2:$A$50,0)),0))</f>
        <v>900</v>
      </c>
      <c r="J205" s="41" t="n">
        <f aca="false">IF($A205="","",IFERROR(INDEX(Products!$D$2:$D$50,MATCH($E205,Products!$A$2:$A$50,0)),0))</f>
        <v>620</v>
      </c>
      <c r="K205" s="41" t="n">
        <f aca="false">IF($A205="","",$F205*$I205*(1-$G205))</f>
        <v>21375</v>
      </c>
      <c r="L205" s="41" t="n">
        <f aca="false">IF($A205="","",$F205*$J205)</f>
        <v>15500</v>
      </c>
      <c r="M205" s="41" t="n">
        <f aca="false">IF($A205="","",$K205-$L205)</f>
        <v>5875</v>
      </c>
    </row>
    <row r="206" customFormat="false" ht="15" hidden="false" customHeight="false" outlineLevel="0" collapsed="false">
      <c r="A206" s="37" t="s">
        <v>305</v>
      </c>
      <c r="B206" s="38" t="n">
        <v>45850</v>
      </c>
      <c r="C206" s="37" t="s">
        <v>105</v>
      </c>
      <c r="D206" s="37" t="s">
        <v>116</v>
      </c>
      <c r="E206" s="37" t="s">
        <v>121</v>
      </c>
      <c r="F206" s="39" t="n">
        <v>15</v>
      </c>
      <c r="G206" s="40" t="n">
        <v>0.05</v>
      </c>
      <c r="H206" s="8" t="str">
        <f aca="false">IF($A206="","",IFERROR(INDEX(Products!$B$2:$B$50,MATCH($E206,Products!$A$2:$A$50,0)),"Unmapped"))</f>
        <v>Electronics</v>
      </c>
      <c r="I206" s="41" t="n">
        <f aca="false">IF($A206="","",IFERROR(INDEX(Products!$C$2:$C$50,MATCH($E206,Products!$A$2:$A$50,0)),0))</f>
        <v>650</v>
      </c>
      <c r="J206" s="41" t="n">
        <f aca="false">IF($A206="","",IFERROR(INDEX(Products!$D$2:$D$50,MATCH($E206,Products!$A$2:$A$50,0)),0))</f>
        <v>430</v>
      </c>
      <c r="K206" s="41" t="n">
        <f aca="false">IF($A206="","",$F206*$I206*(1-$G206))</f>
        <v>9262.5</v>
      </c>
      <c r="L206" s="41" t="n">
        <f aca="false">IF($A206="","",$F206*$J206)</f>
        <v>6450</v>
      </c>
      <c r="M206" s="41" t="n">
        <f aca="false">IF($A206="","",$K206-$L206)</f>
        <v>2812.5</v>
      </c>
    </row>
    <row r="207" customFormat="false" ht="15" hidden="false" customHeight="false" outlineLevel="0" collapsed="false">
      <c r="A207" s="37" t="s">
        <v>306</v>
      </c>
      <c r="B207" s="38" t="n">
        <v>45851</v>
      </c>
      <c r="C207" s="37" t="s">
        <v>82</v>
      </c>
      <c r="D207" s="37" t="s">
        <v>83</v>
      </c>
      <c r="E207" s="37" t="s">
        <v>107</v>
      </c>
      <c r="F207" s="39" t="n">
        <v>15</v>
      </c>
      <c r="G207" s="40" t="n">
        <v>0.05</v>
      </c>
      <c r="H207" s="8" t="str">
        <f aca="false">IF($A207="","",IFERROR(INDEX(Products!$B$2:$B$50,MATCH($E207,Products!$A$2:$A$50,0)),"Unmapped"))</f>
        <v>Furniture</v>
      </c>
      <c r="I207" s="41" t="n">
        <f aca="false">IF($A207="","",IFERROR(INDEX(Products!$C$2:$C$50,MATCH($E207,Products!$A$2:$A$50,0)),0))</f>
        <v>7200</v>
      </c>
      <c r="J207" s="41" t="n">
        <f aca="false">IF($A207="","",IFERROR(INDEX(Products!$D$2:$D$50,MATCH($E207,Products!$A$2:$A$50,0)),0))</f>
        <v>5400</v>
      </c>
      <c r="K207" s="41" t="n">
        <f aca="false">IF($A207="","",$F207*$I207*(1-$G207))</f>
        <v>102600</v>
      </c>
      <c r="L207" s="41" t="n">
        <f aca="false">IF($A207="","",$F207*$J207)</f>
        <v>81000</v>
      </c>
      <c r="M207" s="41" t="n">
        <f aca="false">IF($A207="","",$K207-$L207)</f>
        <v>21600</v>
      </c>
    </row>
    <row r="208" customFormat="false" ht="15" hidden="false" customHeight="false" outlineLevel="0" collapsed="false">
      <c r="A208" s="37" t="s">
        <v>307</v>
      </c>
      <c r="B208" s="38" t="n">
        <v>45851</v>
      </c>
      <c r="C208" s="37" t="s">
        <v>105</v>
      </c>
      <c r="D208" s="37" t="s">
        <v>106</v>
      </c>
      <c r="E208" s="37" t="s">
        <v>114</v>
      </c>
      <c r="F208" s="39" t="n">
        <v>7</v>
      </c>
      <c r="G208" s="40" t="n">
        <v>0.05</v>
      </c>
      <c r="H208" s="8" t="str">
        <f aca="false">IF($A208="","",IFERROR(INDEX(Products!$B$2:$B$50,MATCH($E208,Products!$A$2:$A$50,0)),"Unmapped"))</f>
        <v>Pantry</v>
      </c>
      <c r="I208" s="41" t="n">
        <f aca="false">IF($A208="","",IFERROR(INDEX(Products!$C$2:$C$50,MATCH($E208,Products!$A$2:$A$50,0)),0))</f>
        <v>1500</v>
      </c>
      <c r="J208" s="41" t="n">
        <f aca="false">IF($A208="","",IFERROR(INDEX(Products!$D$2:$D$50,MATCH($E208,Products!$A$2:$A$50,0)),0))</f>
        <v>1100</v>
      </c>
      <c r="K208" s="41" t="n">
        <f aca="false">IF($A208="","",$F208*$I208*(1-$G208))</f>
        <v>9975</v>
      </c>
      <c r="L208" s="41" t="n">
        <f aca="false">IF($A208="","",$F208*$J208)</f>
        <v>7700</v>
      </c>
      <c r="M208" s="41" t="n">
        <f aca="false">IF($A208="","",$K208-$L208)</f>
        <v>2275</v>
      </c>
    </row>
    <row r="209" customFormat="false" ht="15" hidden="false" customHeight="false" outlineLevel="0" collapsed="false">
      <c r="A209" s="37" t="s">
        <v>308</v>
      </c>
      <c r="B209" s="38" t="n">
        <v>45853</v>
      </c>
      <c r="C209" s="37" t="s">
        <v>78</v>
      </c>
      <c r="D209" s="37" t="s">
        <v>79</v>
      </c>
      <c r="E209" s="37" t="s">
        <v>80</v>
      </c>
      <c r="F209" s="39" t="n">
        <v>16</v>
      </c>
      <c r="G209" s="40" t="n">
        <v>0.05</v>
      </c>
      <c r="H209" s="8" t="str">
        <f aca="false">IF($A209="","",IFERROR(INDEX(Products!$B$2:$B$50,MATCH($E209,Products!$A$2:$A$50,0)),"Unmapped"))</f>
        <v>Pantry</v>
      </c>
      <c r="I209" s="41" t="n">
        <f aca="false">IF($A209="","",IFERROR(INDEX(Products!$C$2:$C$50,MATCH($E209,Products!$A$2:$A$50,0)),0))</f>
        <v>5600</v>
      </c>
      <c r="J209" s="41" t="n">
        <f aca="false">IF($A209="","",IFERROR(INDEX(Products!$D$2:$D$50,MATCH($E209,Products!$A$2:$A$50,0)),0))</f>
        <v>4200</v>
      </c>
      <c r="K209" s="41" t="n">
        <f aca="false">IF($A209="","",$F209*$I209*(1-$G209))</f>
        <v>85120</v>
      </c>
      <c r="L209" s="41" t="n">
        <f aca="false">IF($A209="","",$F209*$J209)</f>
        <v>67200</v>
      </c>
      <c r="M209" s="41" t="n">
        <f aca="false">IF($A209="","",$K209-$L209)</f>
        <v>17920</v>
      </c>
    </row>
    <row r="210" customFormat="false" ht="15" hidden="false" customHeight="false" outlineLevel="0" collapsed="false">
      <c r="A210" s="37" t="s">
        <v>309</v>
      </c>
      <c r="B210" s="38" t="n">
        <v>45853</v>
      </c>
      <c r="C210" s="37" t="s">
        <v>88</v>
      </c>
      <c r="D210" s="37" t="s">
        <v>89</v>
      </c>
      <c r="E210" s="37" t="s">
        <v>103</v>
      </c>
      <c r="F210" s="39" t="n">
        <v>27</v>
      </c>
      <c r="G210" s="40" t="n">
        <v>0.1</v>
      </c>
      <c r="H210" s="8" t="str">
        <f aca="false">IF($A210="","",IFERROR(INDEX(Products!$B$2:$B$50,MATCH($E210,Products!$A$2:$A$50,0)),"Unmapped"))</f>
        <v>Electronics</v>
      </c>
      <c r="I210" s="41" t="n">
        <f aca="false">IF($A210="","",IFERROR(INDEX(Products!$C$2:$C$50,MATCH($E210,Products!$A$2:$A$50,0)),0))</f>
        <v>900</v>
      </c>
      <c r="J210" s="41" t="n">
        <f aca="false">IF($A210="","",IFERROR(INDEX(Products!$D$2:$D$50,MATCH($E210,Products!$A$2:$A$50,0)),0))</f>
        <v>620</v>
      </c>
      <c r="K210" s="41" t="n">
        <f aca="false">IF($A210="","",$F210*$I210*(1-$G210))</f>
        <v>21870</v>
      </c>
      <c r="L210" s="41" t="n">
        <f aca="false">IF($A210="","",$F210*$J210)</f>
        <v>16740</v>
      </c>
      <c r="M210" s="41" t="n">
        <f aca="false">IF($A210="","",$K210-$L210)</f>
        <v>5130</v>
      </c>
    </row>
    <row r="211" customFormat="false" ht="15" hidden="false" customHeight="false" outlineLevel="0" collapsed="false">
      <c r="A211" s="37" t="s">
        <v>310</v>
      </c>
      <c r="B211" s="38" t="n">
        <v>45853</v>
      </c>
      <c r="C211" s="37" t="s">
        <v>78</v>
      </c>
      <c r="D211" s="37" t="s">
        <v>86</v>
      </c>
      <c r="E211" s="37" t="s">
        <v>90</v>
      </c>
      <c r="F211" s="39" t="n">
        <v>142</v>
      </c>
      <c r="G211" s="40" t="n">
        <v>0</v>
      </c>
      <c r="H211" s="8" t="str">
        <f aca="false">IF($A211="","",IFERROR(INDEX(Products!$B$2:$B$50,MATCH($E211,Products!$A$2:$A$50,0)),"Unmapped"))</f>
        <v>Stationery</v>
      </c>
      <c r="I211" s="41" t="n">
        <f aca="false">IF($A211="","",IFERROR(INDEX(Products!$C$2:$C$50,MATCH($E211,Products!$A$2:$A$50,0)),0))</f>
        <v>120</v>
      </c>
      <c r="J211" s="41" t="n">
        <f aca="false">IF($A211="","",IFERROR(INDEX(Products!$D$2:$D$50,MATCH($E211,Products!$A$2:$A$50,0)),0))</f>
        <v>80</v>
      </c>
      <c r="K211" s="41" t="n">
        <f aca="false">IF($A211="","",$F211*$I211*(1-$G211))</f>
        <v>17040</v>
      </c>
      <c r="L211" s="41" t="n">
        <f aca="false">IF($A211="","",$F211*$J211)</f>
        <v>11360</v>
      </c>
      <c r="M211" s="41" t="n">
        <f aca="false">IF($A211="","",$K211-$L211)</f>
        <v>5680</v>
      </c>
    </row>
    <row r="212" customFormat="false" ht="15" hidden="false" customHeight="false" outlineLevel="0" collapsed="false">
      <c r="A212" s="37" t="s">
        <v>311</v>
      </c>
      <c r="B212" s="38" t="n">
        <v>45854</v>
      </c>
      <c r="C212" s="37" t="s">
        <v>82</v>
      </c>
      <c r="D212" s="37" t="s">
        <v>93</v>
      </c>
      <c r="E212" s="37" t="s">
        <v>103</v>
      </c>
      <c r="F212" s="39" t="n">
        <v>20</v>
      </c>
      <c r="G212" s="40" t="n">
        <v>0</v>
      </c>
      <c r="H212" s="8" t="str">
        <f aca="false">IF($A212="","",IFERROR(INDEX(Products!$B$2:$B$50,MATCH($E212,Products!$A$2:$A$50,0)),"Unmapped"))</f>
        <v>Electronics</v>
      </c>
      <c r="I212" s="41" t="n">
        <f aca="false">IF($A212="","",IFERROR(INDEX(Products!$C$2:$C$50,MATCH($E212,Products!$A$2:$A$50,0)),0))</f>
        <v>900</v>
      </c>
      <c r="J212" s="41" t="n">
        <f aca="false">IF($A212="","",IFERROR(INDEX(Products!$D$2:$D$50,MATCH($E212,Products!$A$2:$A$50,0)),0))</f>
        <v>620</v>
      </c>
      <c r="K212" s="41" t="n">
        <f aca="false">IF($A212="","",$F212*$I212*(1-$G212))</f>
        <v>18000</v>
      </c>
      <c r="L212" s="41" t="n">
        <f aca="false">IF($A212="","",$F212*$J212)</f>
        <v>12400</v>
      </c>
      <c r="M212" s="41" t="n">
        <f aca="false">IF($A212="","",$K212-$L212)</f>
        <v>5600</v>
      </c>
    </row>
    <row r="213" customFormat="false" ht="15" hidden="false" customHeight="false" outlineLevel="0" collapsed="false">
      <c r="A213" s="37" t="s">
        <v>312</v>
      </c>
      <c r="B213" s="38" t="n">
        <v>45855</v>
      </c>
      <c r="C213" s="37" t="s">
        <v>82</v>
      </c>
      <c r="D213" s="37" t="s">
        <v>83</v>
      </c>
      <c r="E213" s="37" t="s">
        <v>134</v>
      </c>
      <c r="F213" s="39" t="n">
        <v>11</v>
      </c>
      <c r="G213" s="40" t="n">
        <v>0.1</v>
      </c>
      <c r="H213" s="8" t="str">
        <f aca="false">IF($A213="","",IFERROR(INDEX(Products!$B$2:$B$50,MATCH($E213,Products!$A$2:$A$50,0)),"Unmapped"))</f>
        <v>Furniture</v>
      </c>
      <c r="I213" s="41" t="n">
        <f aca="false">IF($A213="","",IFERROR(INDEX(Products!$C$2:$C$50,MATCH($E213,Products!$A$2:$A$50,0)),0))</f>
        <v>6100</v>
      </c>
      <c r="J213" s="41" t="n">
        <f aca="false">IF($A213="","",IFERROR(INDEX(Products!$D$2:$D$50,MATCH($E213,Products!$A$2:$A$50,0)),0))</f>
        <v>4500</v>
      </c>
      <c r="K213" s="41" t="n">
        <f aca="false">IF($A213="","",$F213*$I213*(1-$G213))</f>
        <v>60390</v>
      </c>
      <c r="L213" s="41" t="n">
        <f aca="false">IF($A213="","",$F213*$J213)</f>
        <v>49500</v>
      </c>
      <c r="M213" s="41" t="n">
        <f aca="false">IF($A213="","",$K213-$L213)</f>
        <v>10890</v>
      </c>
    </row>
    <row r="214" customFormat="false" ht="15" hidden="false" customHeight="false" outlineLevel="0" collapsed="false">
      <c r="A214" s="37" t="s">
        <v>313</v>
      </c>
      <c r="B214" s="38" t="n">
        <v>45856</v>
      </c>
      <c r="C214" s="37" t="s">
        <v>82</v>
      </c>
      <c r="D214" s="37" t="s">
        <v>83</v>
      </c>
      <c r="E214" s="37" t="s">
        <v>94</v>
      </c>
      <c r="F214" s="39" t="n">
        <v>110</v>
      </c>
      <c r="G214" s="40" t="n">
        <v>0.05</v>
      </c>
      <c r="H214" s="8" t="str">
        <f aca="false">IF($A214="","",IFERROR(INDEX(Products!$B$2:$B$50,MATCH($E214,Products!$A$2:$A$50,0)),"Unmapped"))</f>
        <v>Stationery</v>
      </c>
      <c r="I214" s="41" t="n">
        <f aca="false">IF($A214="","",IFERROR(INDEX(Products!$C$2:$C$50,MATCH($E214,Products!$A$2:$A$50,0)),0))</f>
        <v>280</v>
      </c>
      <c r="J214" s="41" t="n">
        <f aca="false">IF($A214="","",IFERROR(INDEX(Products!$D$2:$D$50,MATCH($E214,Products!$A$2:$A$50,0)),0))</f>
        <v>210</v>
      </c>
      <c r="K214" s="41" t="n">
        <f aca="false">IF($A214="","",$F214*$I214*(1-$G214))</f>
        <v>29260</v>
      </c>
      <c r="L214" s="41" t="n">
        <f aca="false">IF($A214="","",$F214*$J214)</f>
        <v>23100</v>
      </c>
      <c r="M214" s="41" t="n">
        <f aca="false">IF($A214="","",$K214-$L214)</f>
        <v>6160</v>
      </c>
    </row>
    <row r="215" customFormat="false" ht="15" hidden="false" customHeight="false" outlineLevel="0" collapsed="false">
      <c r="A215" s="37" t="s">
        <v>314</v>
      </c>
      <c r="B215" s="38" t="n">
        <v>45857</v>
      </c>
      <c r="C215" s="37" t="s">
        <v>78</v>
      </c>
      <c r="D215" s="37" t="s">
        <v>86</v>
      </c>
      <c r="E215" s="37" t="s">
        <v>90</v>
      </c>
      <c r="F215" s="39" t="n">
        <v>46</v>
      </c>
      <c r="G215" s="40" t="n">
        <v>0.1</v>
      </c>
      <c r="H215" s="8" t="str">
        <f aca="false">IF($A215="","",IFERROR(INDEX(Products!$B$2:$B$50,MATCH($E215,Products!$A$2:$A$50,0)),"Unmapped"))</f>
        <v>Stationery</v>
      </c>
      <c r="I215" s="41" t="n">
        <f aca="false">IF($A215="","",IFERROR(INDEX(Products!$C$2:$C$50,MATCH($E215,Products!$A$2:$A$50,0)),0))</f>
        <v>120</v>
      </c>
      <c r="J215" s="41" t="n">
        <f aca="false">IF($A215="","",IFERROR(INDEX(Products!$D$2:$D$50,MATCH($E215,Products!$A$2:$A$50,0)),0))</f>
        <v>80</v>
      </c>
      <c r="K215" s="41" t="n">
        <f aca="false">IF($A215="","",$F215*$I215*(1-$G215))</f>
        <v>4968</v>
      </c>
      <c r="L215" s="41" t="n">
        <f aca="false">IF($A215="","",$F215*$J215)</f>
        <v>3680</v>
      </c>
      <c r="M215" s="41" t="n">
        <f aca="false">IF($A215="","",$K215-$L215)</f>
        <v>1288</v>
      </c>
    </row>
    <row r="216" customFormat="false" ht="15" hidden="false" customHeight="false" outlineLevel="0" collapsed="false">
      <c r="A216" s="37" t="s">
        <v>315</v>
      </c>
      <c r="B216" s="38" t="n">
        <v>45858</v>
      </c>
      <c r="C216" s="37" t="s">
        <v>88</v>
      </c>
      <c r="D216" s="37" t="s">
        <v>89</v>
      </c>
      <c r="E216" s="37" t="s">
        <v>94</v>
      </c>
      <c r="F216" s="39" t="n">
        <v>103</v>
      </c>
      <c r="G216" s="40" t="n">
        <v>0</v>
      </c>
      <c r="H216" s="8" t="str">
        <f aca="false">IF($A216="","",IFERROR(INDEX(Products!$B$2:$B$50,MATCH($E216,Products!$A$2:$A$50,0)),"Unmapped"))</f>
        <v>Stationery</v>
      </c>
      <c r="I216" s="41" t="n">
        <f aca="false">IF($A216="","",IFERROR(INDEX(Products!$C$2:$C$50,MATCH($E216,Products!$A$2:$A$50,0)),0))</f>
        <v>280</v>
      </c>
      <c r="J216" s="41" t="n">
        <f aca="false">IF($A216="","",IFERROR(INDEX(Products!$D$2:$D$50,MATCH($E216,Products!$A$2:$A$50,0)),0))</f>
        <v>210</v>
      </c>
      <c r="K216" s="41" t="n">
        <f aca="false">IF($A216="","",$F216*$I216*(1-$G216))</f>
        <v>28840</v>
      </c>
      <c r="L216" s="41" t="n">
        <f aca="false">IF($A216="","",$F216*$J216)</f>
        <v>21630</v>
      </c>
      <c r="M216" s="41" t="n">
        <f aca="false">IF($A216="","",$K216-$L216)</f>
        <v>7210</v>
      </c>
    </row>
    <row r="217" customFormat="false" ht="15" hidden="false" customHeight="false" outlineLevel="0" collapsed="false">
      <c r="A217" s="37" t="s">
        <v>316</v>
      </c>
      <c r="B217" s="38" t="n">
        <v>45858</v>
      </c>
      <c r="C217" s="37" t="s">
        <v>82</v>
      </c>
      <c r="D217" s="37" t="s">
        <v>83</v>
      </c>
      <c r="E217" s="37" t="s">
        <v>90</v>
      </c>
      <c r="F217" s="39" t="n">
        <v>200</v>
      </c>
      <c r="G217" s="40" t="n">
        <v>0</v>
      </c>
      <c r="H217" s="8" t="str">
        <f aca="false">IF($A217="","",IFERROR(INDEX(Products!$B$2:$B$50,MATCH($E217,Products!$A$2:$A$50,0)),"Unmapped"))</f>
        <v>Stationery</v>
      </c>
      <c r="I217" s="41" t="n">
        <f aca="false">IF($A217="","",IFERROR(INDEX(Products!$C$2:$C$50,MATCH($E217,Products!$A$2:$A$50,0)),0))</f>
        <v>120</v>
      </c>
      <c r="J217" s="41" t="n">
        <f aca="false">IF($A217="","",IFERROR(INDEX(Products!$D$2:$D$50,MATCH($E217,Products!$A$2:$A$50,0)),0))</f>
        <v>80</v>
      </c>
      <c r="K217" s="41" t="n">
        <f aca="false">IF($A217="","",$F217*$I217*(1-$G217))</f>
        <v>24000</v>
      </c>
      <c r="L217" s="41" t="n">
        <f aca="false">IF($A217="","",$F217*$J217)</f>
        <v>16000</v>
      </c>
      <c r="M217" s="41" t="n">
        <f aca="false">IF($A217="","",$K217-$L217)</f>
        <v>8000</v>
      </c>
    </row>
    <row r="218" customFormat="false" ht="15" hidden="false" customHeight="false" outlineLevel="0" collapsed="false">
      <c r="A218" s="37" t="s">
        <v>317</v>
      </c>
      <c r="B218" s="38" t="n">
        <v>45858</v>
      </c>
      <c r="C218" s="37" t="s">
        <v>78</v>
      </c>
      <c r="D218" s="37" t="s">
        <v>86</v>
      </c>
      <c r="E218" s="37" t="s">
        <v>94</v>
      </c>
      <c r="F218" s="39" t="n">
        <v>75</v>
      </c>
      <c r="G218" s="40" t="n">
        <v>0.1</v>
      </c>
      <c r="H218" s="8" t="str">
        <f aca="false">IF($A218="","",IFERROR(INDEX(Products!$B$2:$B$50,MATCH($E218,Products!$A$2:$A$50,0)),"Unmapped"))</f>
        <v>Stationery</v>
      </c>
      <c r="I218" s="41" t="n">
        <f aca="false">IF($A218="","",IFERROR(INDEX(Products!$C$2:$C$50,MATCH($E218,Products!$A$2:$A$50,0)),0))</f>
        <v>280</v>
      </c>
      <c r="J218" s="41" t="n">
        <f aca="false">IF($A218="","",IFERROR(INDEX(Products!$D$2:$D$50,MATCH($E218,Products!$A$2:$A$50,0)),0))</f>
        <v>210</v>
      </c>
      <c r="K218" s="41" t="n">
        <f aca="false">IF($A218="","",$F218*$I218*(1-$G218))</f>
        <v>18900</v>
      </c>
      <c r="L218" s="41" t="n">
        <f aca="false">IF($A218="","",$F218*$J218)</f>
        <v>15750</v>
      </c>
      <c r="M218" s="41" t="n">
        <f aca="false">IF($A218="","",$K218-$L218)</f>
        <v>3150</v>
      </c>
    </row>
    <row r="219" customFormat="false" ht="15" hidden="false" customHeight="false" outlineLevel="0" collapsed="false">
      <c r="A219" s="37" t="s">
        <v>318</v>
      </c>
      <c r="B219" s="38" t="n">
        <v>45858</v>
      </c>
      <c r="C219" s="37" t="s">
        <v>105</v>
      </c>
      <c r="D219" s="37" t="s">
        <v>106</v>
      </c>
      <c r="E219" s="37" t="s">
        <v>84</v>
      </c>
      <c r="F219" s="39" t="n">
        <v>176</v>
      </c>
      <c r="G219" s="40" t="n">
        <v>0</v>
      </c>
      <c r="H219" s="8" t="str">
        <f aca="false">IF($A219="","",IFERROR(INDEX(Products!$B$2:$B$50,MATCH($E219,Products!$A$2:$A$50,0)),"Unmapped"))</f>
        <v>Stationery</v>
      </c>
      <c r="I219" s="41" t="n">
        <f aca="false">IF($A219="","",IFERROR(INDEX(Products!$C$2:$C$50,MATCH($E219,Products!$A$2:$A$50,0)),0))</f>
        <v>350</v>
      </c>
      <c r="J219" s="41" t="n">
        <f aca="false">IF($A219="","",IFERROR(INDEX(Products!$D$2:$D$50,MATCH($E219,Products!$A$2:$A$50,0)),0))</f>
        <v>240</v>
      </c>
      <c r="K219" s="41" t="n">
        <f aca="false">IF($A219="","",$F219*$I219*(1-$G219))</f>
        <v>61600</v>
      </c>
      <c r="L219" s="41" t="n">
        <f aca="false">IF($A219="","",$F219*$J219)</f>
        <v>42240</v>
      </c>
      <c r="M219" s="41" t="n">
        <f aca="false">IF($A219="","",$K219-$L219)</f>
        <v>19360</v>
      </c>
    </row>
    <row r="220" customFormat="false" ht="15" hidden="false" customHeight="false" outlineLevel="0" collapsed="false">
      <c r="A220" s="37" t="s">
        <v>319</v>
      </c>
      <c r="B220" s="38" t="n">
        <v>45858</v>
      </c>
      <c r="C220" s="37" t="s">
        <v>78</v>
      </c>
      <c r="D220" s="37" t="s">
        <v>86</v>
      </c>
      <c r="E220" s="37" t="s">
        <v>94</v>
      </c>
      <c r="F220" s="39" t="n">
        <v>21</v>
      </c>
      <c r="G220" s="40" t="n">
        <v>0.15</v>
      </c>
      <c r="H220" s="8" t="str">
        <f aca="false">IF($A220="","",IFERROR(INDEX(Products!$B$2:$B$50,MATCH($E220,Products!$A$2:$A$50,0)),"Unmapped"))</f>
        <v>Stationery</v>
      </c>
      <c r="I220" s="41" t="n">
        <f aca="false">IF($A220="","",IFERROR(INDEX(Products!$C$2:$C$50,MATCH($E220,Products!$A$2:$A$50,0)),0))</f>
        <v>280</v>
      </c>
      <c r="J220" s="41" t="n">
        <f aca="false">IF($A220="","",IFERROR(INDEX(Products!$D$2:$D$50,MATCH($E220,Products!$A$2:$A$50,0)),0))</f>
        <v>210</v>
      </c>
      <c r="K220" s="41" t="n">
        <f aca="false">IF($A220="","",$F220*$I220*(1-$G220))</f>
        <v>4998</v>
      </c>
      <c r="L220" s="41" t="n">
        <f aca="false">IF($A220="","",$F220*$J220)</f>
        <v>4410</v>
      </c>
      <c r="M220" s="41" t="n">
        <f aca="false">IF($A220="","",$K220-$L220)</f>
        <v>588</v>
      </c>
    </row>
    <row r="221" customFormat="false" ht="15" hidden="false" customHeight="false" outlineLevel="0" collapsed="false">
      <c r="A221" s="37" t="s">
        <v>320</v>
      </c>
      <c r="B221" s="38" t="n">
        <v>45859</v>
      </c>
      <c r="C221" s="37" t="s">
        <v>82</v>
      </c>
      <c r="D221" s="37" t="s">
        <v>93</v>
      </c>
      <c r="E221" s="37" t="s">
        <v>90</v>
      </c>
      <c r="F221" s="39" t="n">
        <v>169</v>
      </c>
      <c r="G221" s="40" t="n">
        <v>0.05</v>
      </c>
      <c r="H221" s="8" t="str">
        <f aca="false">IF($A221="","",IFERROR(INDEX(Products!$B$2:$B$50,MATCH($E221,Products!$A$2:$A$50,0)),"Unmapped"))</f>
        <v>Stationery</v>
      </c>
      <c r="I221" s="41" t="n">
        <f aca="false">IF($A221="","",IFERROR(INDEX(Products!$C$2:$C$50,MATCH($E221,Products!$A$2:$A$50,0)),0))</f>
        <v>120</v>
      </c>
      <c r="J221" s="41" t="n">
        <f aca="false">IF($A221="","",IFERROR(INDEX(Products!$D$2:$D$50,MATCH($E221,Products!$A$2:$A$50,0)),0))</f>
        <v>80</v>
      </c>
      <c r="K221" s="41" t="n">
        <f aca="false">IF($A221="","",$F221*$I221*(1-$G221))</f>
        <v>19266</v>
      </c>
      <c r="L221" s="41" t="n">
        <f aca="false">IF($A221="","",$F221*$J221)</f>
        <v>13520</v>
      </c>
      <c r="M221" s="41" t="n">
        <f aca="false">IF($A221="","",$K221-$L221)</f>
        <v>5746</v>
      </c>
    </row>
    <row r="222" customFormat="false" ht="15" hidden="false" customHeight="false" outlineLevel="0" collapsed="false">
      <c r="A222" s="37" t="s">
        <v>321</v>
      </c>
      <c r="B222" s="38" t="n">
        <v>45860</v>
      </c>
      <c r="C222" s="37" t="s">
        <v>88</v>
      </c>
      <c r="D222" s="37" t="s">
        <v>111</v>
      </c>
      <c r="E222" s="37" t="s">
        <v>90</v>
      </c>
      <c r="F222" s="39" t="n">
        <v>31</v>
      </c>
      <c r="G222" s="40" t="n">
        <v>0.05</v>
      </c>
      <c r="H222" s="8" t="str">
        <f aca="false">IF($A222="","",IFERROR(INDEX(Products!$B$2:$B$50,MATCH($E222,Products!$A$2:$A$50,0)),"Unmapped"))</f>
        <v>Stationery</v>
      </c>
      <c r="I222" s="41" t="n">
        <f aca="false">IF($A222="","",IFERROR(INDEX(Products!$C$2:$C$50,MATCH($E222,Products!$A$2:$A$50,0)),0))</f>
        <v>120</v>
      </c>
      <c r="J222" s="41" t="n">
        <f aca="false">IF($A222="","",IFERROR(INDEX(Products!$D$2:$D$50,MATCH($E222,Products!$A$2:$A$50,0)),0))</f>
        <v>80</v>
      </c>
      <c r="K222" s="41" t="n">
        <f aca="false">IF($A222="","",$F222*$I222*(1-$G222))</f>
        <v>3534</v>
      </c>
      <c r="L222" s="41" t="n">
        <f aca="false">IF($A222="","",$F222*$J222)</f>
        <v>2480</v>
      </c>
      <c r="M222" s="41" t="n">
        <f aca="false">IF($A222="","",$K222-$L222)</f>
        <v>1054</v>
      </c>
    </row>
    <row r="223" customFormat="false" ht="15" hidden="false" customHeight="false" outlineLevel="0" collapsed="false">
      <c r="A223" s="37" t="s">
        <v>322</v>
      </c>
      <c r="B223" s="38" t="n">
        <v>45861</v>
      </c>
      <c r="C223" s="37" t="s">
        <v>82</v>
      </c>
      <c r="D223" s="37" t="s">
        <v>83</v>
      </c>
      <c r="E223" s="37" t="s">
        <v>94</v>
      </c>
      <c r="F223" s="39" t="n">
        <v>76</v>
      </c>
      <c r="G223" s="40" t="n">
        <v>0.05</v>
      </c>
      <c r="H223" s="8" t="str">
        <f aca="false">IF($A223="","",IFERROR(INDEX(Products!$B$2:$B$50,MATCH($E223,Products!$A$2:$A$50,0)),"Unmapped"))</f>
        <v>Stationery</v>
      </c>
      <c r="I223" s="41" t="n">
        <f aca="false">IF($A223="","",IFERROR(INDEX(Products!$C$2:$C$50,MATCH($E223,Products!$A$2:$A$50,0)),0))</f>
        <v>280</v>
      </c>
      <c r="J223" s="41" t="n">
        <f aca="false">IF($A223="","",IFERROR(INDEX(Products!$D$2:$D$50,MATCH($E223,Products!$A$2:$A$50,0)),0))</f>
        <v>210</v>
      </c>
      <c r="K223" s="41" t="n">
        <f aca="false">IF($A223="","",$F223*$I223*(1-$G223))</f>
        <v>20216</v>
      </c>
      <c r="L223" s="41" t="n">
        <f aca="false">IF($A223="","",$F223*$J223)</f>
        <v>15960</v>
      </c>
      <c r="M223" s="41" t="n">
        <f aca="false">IF($A223="","",$K223-$L223)</f>
        <v>4256</v>
      </c>
    </row>
    <row r="224" customFormat="false" ht="15" hidden="false" customHeight="false" outlineLevel="0" collapsed="false">
      <c r="A224" s="37" t="s">
        <v>323</v>
      </c>
      <c r="B224" s="38" t="n">
        <v>45864</v>
      </c>
      <c r="C224" s="37" t="s">
        <v>82</v>
      </c>
      <c r="D224" s="37" t="s">
        <v>93</v>
      </c>
      <c r="E224" s="37" t="s">
        <v>90</v>
      </c>
      <c r="F224" s="39" t="n">
        <v>44</v>
      </c>
      <c r="G224" s="40" t="n">
        <v>0.05</v>
      </c>
      <c r="H224" s="8" t="str">
        <f aca="false">IF($A224="","",IFERROR(INDEX(Products!$B$2:$B$50,MATCH($E224,Products!$A$2:$A$50,0)),"Unmapped"))</f>
        <v>Stationery</v>
      </c>
      <c r="I224" s="41" t="n">
        <f aca="false">IF($A224="","",IFERROR(INDEX(Products!$C$2:$C$50,MATCH($E224,Products!$A$2:$A$50,0)),0))</f>
        <v>120</v>
      </c>
      <c r="J224" s="41" t="n">
        <f aca="false">IF($A224="","",IFERROR(INDEX(Products!$D$2:$D$50,MATCH($E224,Products!$A$2:$A$50,0)),0))</f>
        <v>80</v>
      </c>
      <c r="K224" s="41" t="n">
        <f aca="false">IF($A224="","",$F224*$I224*(1-$G224))</f>
        <v>5016</v>
      </c>
      <c r="L224" s="41" t="n">
        <f aca="false">IF($A224="","",$F224*$J224)</f>
        <v>3520</v>
      </c>
      <c r="M224" s="41" t="n">
        <f aca="false">IF($A224="","",$K224-$L224)</f>
        <v>1496</v>
      </c>
    </row>
    <row r="225" customFormat="false" ht="15" hidden="false" customHeight="false" outlineLevel="0" collapsed="false">
      <c r="A225" s="37" t="s">
        <v>324</v>
      </c>
      <c r="B225" s="38" t="n">
        <v>45864</v>
      </c>
      <c r="C225" s="37" t="s">
        <v>88</v>
      </c>
      <c r="D225" s="37" t="s">
        <v>111</v>
      </c>
      <c r="E225" s="37" t="s">
        <v>94</v>
      </c>
      <c r="F225" s="39" t="n">
        <v>76</v>
      </c>
      <c r="G225" s="40" t="n">
        <v>0</v>
      </c>
      <c r="H225" s="8" t="str">
        <f aca="false">IF($A225="","",IFERROR(INDEX(Products!$B$2:$B$50,MATCH($E225,Products!$A$2:$A$50,0)),"Unmapped"))</f>
        <v>Stationery</v>
      </c>
      <c r="I225" s="41" t="n">
        <f aca="false">IF($A225="","",IFERROR(INDEX(Products!$C$2:$C$50,MATCH($E225,Products!$A$2:$A$50,0)),0))</f>
        <v>280</v>
      </c>
      <c r="J225" s="41" t="n">
        <f aca="false">IF($A225="","",IFERROR(INDEX(Products!$D$2:$D$50,MATCH($E225,Products!$A$2:$A$50,0)),0))</f>
        <v>210</v>
      </c>
      <c r="K225" s="41" t="n">
        <f aca="false">IF($A225="","",$F225*$I225*(1-$G225))</f>
        <v>21280</v>
      </c>
      <c r="L225" s="41" t="n">
        <f aca="false">IF($A225="","",$F225*$J225)</f>
        <v>15960</v>
      </c>
      <c r="M225" s="41" t="n">
        <f aca="false">IF($A225="","",$K225-$L225)</f>
        <v>5320</v>
      </c>
    </row>
    <row r="226" customFormat="false" ht="15" hidden="false" customHeight="false" outlineLevel="0" collapsed="false">
      <c r="A226" s="37" t="s">
        <v>325</v>
      </c>
      <c r="B226" s="38" t="n">
        <v>45867</v>
      </c>
      <c r="C226" s="37" t="s">
        <v>105</v>
      </c>
      <c r="D226" s="37" t="s">
        <v>106</v>
      </c>
      <c r="E226" s="37" t="s">
        <v>94</v>
      </c>
      <c r="F226" s="39" t="n">
        <v>128</v>
      </c>
      <c r="G226" s="40" t="n">
        <v>0.1</v>
      </c>
      <c r="H226" s="8" t="str">
        <f aca="false">IF($A226="","",IFERROR(INDEX(Products!$B$2:$B$50,MATCH($E226,Products!$A$2:$A$50,0)),"Unmapped"))</f>
        <v>Stationery</v>
      </c>
      <c r="I226" s="41" t="n">
        <f aca="false">IF($A226="","",IFERROR(INDEX(Products!$C$2:$C$50,MATCH($E226,Products!$A$2:$A$50,0)),0))</f>
        <v>280</v>
      </c>
      <c r="J226" s="41" t="n">
        <f aca="false">IF($A226="","",IFERROR(INDEX(Products!$D$2:$D$50,MATCH($E226,Products!$A$2:$A$50,0)),0))</f>
        <v>210</v>
      </c>
      <c r="K226" s="41" t="n">
        <f aca="false">IF($A226="","",$F226*$I226*(1-$G226))</f>
        <v>32256</v>
      </c>
      <c r="L226" s="41" t="n">
        <f aca="false">IF($A226="","",$F226*$J226)</f>
        <v>26880</v>
      </c>
      <c r="M226" s="41" t="n">
        <f aca="false">IF($A226="","",$K226-$L226)</f>
        <v>5376</v>
      </c>
    </row>
    <row r="227" customFormat="false" ht="15" hidden="false" customHeight="false" outlineLevel="0" collapsed="false">
      <c r="A227" s="37" t="s">
        <v>326</v>
      </c>
      <c r="B227" s="38" t="n">
        <v>45870</v>
      </c>
      <c r="C227" s="37" t="s">
        <v>88</v>
      </c>
      <c r="D227" s="37" t="s">
        <v>111</v>
      </c>
      <c r="E227" s="37" t="s">
        <v>96</v>
      </c>
      <c r="F227" s="39" t="n">
        <v>12</v>
      </c>
      <c r="G227" s="40" t="n">
        <v>0</v>
      </c>
      <c r="H227" s="8" t="str">
        <f aca="false">IF($A227="","",IFERROR(INDEX(Products!$B$2:$B$50,MATCH($E227,Products!$A$2:$A$50,0)),"Unmapped"))</f>
        <v>Furniture</v>
      </c>
      <c r="I227" s="41" t="n">
        <f aca="false">IF($A227="","",IFERROR(INDEX(Products!$C$2:$C$50,MATCH($E227,Products!$A$2:$A$50,0)),0))</f>
        <v>4800</v>
      </c>
      <c r="J227" s="41" t="n">
        <f aca="false">IF($A227="","",IFERROR(INDEX(Products!$D$2:$D$50,MATCH($E227,Products!$A$2:$A$50,0)),0))</f>
        <v>3500</v>
      </c>
      <c r="K227" s="41" t="n">
        <f aca="false">IF($A227="","",$F227*$I227*(1-$G227))</f>
        <v>57600</v>
      </c>
      <c r="L227" s="41" t="n">
        <f aca="false">IF($A227="","",$F227*$J227)</f>
        <v>42000</v>
      </c>
      <c r="M227" s="41" t="n">
        <f aca="false">IF($A227="","",$K227-$L227)</f>
        <v>15600</v>
      </c>
    </row>
    <row r="228" customFormat="false" ht="15" hidden="false" customHeight="false" outlineLevel="0" collapsed="false">
      <c r="A228" s="37" t="s">
        <v>327</v>
      </c>
      <c r="B228" s="38" t="n">
        <v>45873</v>
      </c>
      <c r="C228" s="37" t="s">
        <v>82</v>
      </c>
      <c r="D228" s="37" t="s">
        <v>93</v>
      </c>
      <c r="E228" s="37" t="s">
        <v>103</v>
      </c>
      <c r="F228" s="39" t="n">
        <v>28</v>
      </c>
      <c r="G228" s="40" t="n">
        <v>0.15</v>
      </c>
      <c r="H228" s="8" t="str">
        <f aca="false">IF($A228="","",IFERROR(INDEX(Products!$B$2:$B$50,MATCH($E228,Products!$A$2:$A$50,0)),"Unmapped"))</f>
        <v>Electronics</v>
      </c>
      <c r="I228" s="41" t="n">
        <f aca="false">IF($A228="","",IFERROR(INDEX(Products!$C$2:$C$50,MATCH($E228,Products!$A$2:$A$50,0)),0))</f>
        <v>900</v>
      </c>
      <c r="J228" s="41" t="n">
        <f aca="false">IF($A228="","",IFERROR(INDEX(Products!$D$2:$D$50,MATCH($E228,Products!$A$2:$A$50,0)),0))</f>
        <v>620</v>
      </c>
      <c r="K228" s="41" t="n">
        <f aca="false">IF($A228="","",$F228*$I228*(1-$G228))</f>
        <v>21420</v>
      </c>
      <c r="L228" s="41" t="n">
        <f aca="false">IF($A228="","",$F228*$J228)</f>
        <v>17360</v>
      </c>
      <c r="M228" s="41" t="n">
        <f aca="false">IF($A228="","",$K228-$L228)</f>
        <v>4060</v>
      </c>
    </row>
    <row r="229" customFormat="false" ht="15" hidden="false" customHeight="false" outlineLevel="0" collapsed="false">
      <c r="A229" s="37" t="s">
        <v>328</v>
      </c>
      <c r="B229" s="38" t="n">
        <v>45874</v>
      </c>
      <c r="C229" s="37" t="s">
        <v>105</v>
      </c>
      <c r="D229" s="37" t="s">
        <v>106</v>
      </c>
      <c r="E229" s="37" t="s">
        <v>96</v>
      </c>
      <c r="F229" s="39" t="n">
        <v>11</v>
      </c>
      <c r="G229" s="40" t="n">
        <v>0.05</v>
      </c>
      <c r="H229" s="8" t="str">
        <f aca="false">IF($A229="","",IFERROR(INDEX(Products!$B$2:$B$50,MATCH($E229,Products!$A$2:$A$50,0)),"Unmapped"))</f>
        <v>Furniture</v>
      </c>
      <c r="I229" s="41" t="n">
        <f aca="false">IF($A229="","",IFERROR(INDEX(Products!$C$2:$C$50,MATCH($E229,Products!$A$2:$A$50,0)),0))</f>
        <v>4800</v>
      </c>
      <c r="J229" s="41" t="n">
        <f aca="false">IF($A229="","",IFERROR(INDEX(Products!$D$2:$D$50,MATCH($E229,Products!$A$2:$A$50,0)),0))</f>
        <v>3500</v>
      </c>
      <c r="K229" s="41" t="n">
        <f aca="false">IF($A229="","",$F229*$I229*(1-$G229))</f>
        <v>50160</v>
      </c>
      <c r="L229" s="41" t="n">
        <f aca="false">IF($A229="","",$F229*$J229)</f>
        <v>38500</v>
      </c>
      <c r="M229" s="41" t="n">
        <f aca="false">IF($A229="","",$K229-$L229)</f>
        <v>11660</v>
      </c>
    </row>
    <row r="230" customFormat="false" ht="15" hidden="false" customHeight="false" outlineLevel="0" collapsed="false">
      <c r="A230" s="37" t="s">
        <v>329</v>
      </c>
      <c r="B230" s="38" t="n">
        <v>45874</v>
      </c>
      <c r="C230" s="37" t="s">
        <v>78</v>
      </c>
      <c r="D230" s="37" t="s">
        <v>79</v>
      </c>
      <c r="E230" s="37" t="s">
        <v>94</v>
      </c>
      <c r="F230" s="39" t="n">
        <v>72</v>
      </c>
      <c r="G230" s="40" t="n">
        <v>0.15</v>
      </c>
      <c r="H230" s="8" t="str">
        <f aca="false">IF($A230="","",IFERROR(INDEX(Products!$B$2:$B$50,MATCH($E230,Products!$A$2:$A$50,0)),"Unmapped"))</f>
        <v>Stationery</v>
      </c>
      <c r="I230" s="41" t="n">
        <f aca="false">IF($A230="","",IFERROR(INDEX(Products!$C$2:$C$50,MATCH($E230,Products!$A$2:$A$50,0)),0))</f>
        <v>280</v>
      </c>
      <c r="J230" s="41" t="n">
        <f aca="false">IF($A230="","",IFERROR(INDEX(Products!$D$2:$D$50,MATCH($E230,Products!$A$2:$A$50,0)),0))</f>
        <v>210</v>
      </c>
      <c r="K230" s="41" t="n">
        <f aca="false">IF($A230="","",$F230*$I230*(1-$G230))</f>
        <v>17136</v>
      </c>
      <c r="L230" s="41" t="n">
        <f aca="false">IF($A230="","",$F230*$J230)</f>
        <v>15120</v>
      </c>
      <c r="M230" s="41" t="n">
        <f aca="false">IF($A230="","",$K230-$L230)</f>
        <v>2016</v>
      </c>
    </row>
    <row r="231" customFormat="false" ht="15" hidden="false" customHeight="false" outlineLevel="0" collapsed="false">
      <c r="A231" s="37" t="s">
        <v>330</v>
      </c>
      <c r="B231" s="38" t="n">
        <v>45876</v>
      </c>
      <c r="C231" s="37" t="s">
        <v>78</v>
      </c>
      <c r="D231" s="37" t="s">
        <v>79</v>
      </c>
      <c r="E231" s="37" t="s">
        <v>107</v>
      </c>
      <c r="F231" s="39" t="n">
        <v>13</v>
      </c>
      <c r="G231" s="40" t="n">
        <v>0</v>
      </c>
      <c r="H231" s="8" t="str">
        <f aca="false">IF($A231="","",IFERROR(INDEX(Products!$B$2:$B$50,MATCH($E231,Products!$A$2:$A$50,0)),"Unmapped"))</f>
        <v>Furniture</v>
      </c>
      <c r="I231" s="41" t="n">
        <f aca="false">IF($A231="","",IFERROR(INDEX(Products!$C$2:$C$50,MATCH($E231,Products!$A$2:$A$50,0)),0))</f>
        <v>7200</v>
      </c>
      <c r="J231" s="41" t="n">
        <f aca="false">IF($A231="","",IFERROR(INDEX(Products!$D$2:$D$50,MATCH($E231,Products!$A$2:$A$50,0)),0))</f>
        <v>5400</v>
      </c>
      <c r="K231" s="41" t="n">
        <f aca="false">IF($A231="","",$F231*$I231*(1-$G231))</f>
        <v>93600</v>
      </c>
      <c r="L231" s="41" t="n">
        <f aca="false">IF($A231="","",$F231*$J231)</f>
        <v>70200</v>
      </c>
      <c r="M231" s="41" t="n">
        <f aca="false">IF($A231="","",$K231-$L231)</f>
        <v>23400</v>
      </c>
    </row>
    <row r="232" customFormat="false" ht="15" hidden="false" customHeight="false" outlineLevel="0" collapsed="false">
      <c r="A232" s="37" t="s">
        <v>331</v>
      </c>
      <c r="B232" s="38" t="n">
        <v>45877</v>
      </c>
      <c r="C232" s="37" t="s">
        <v>82</v>
      </c>
      <c r="D232" s="37" t="s">
        <v>93</v>
      </c>
      <c r="E232" s="37" t="s">
        <v>90</v>
      </c>
      <c r="F232" s="39" t="n">
        <v>145</v>
      </c>
      <c r="G232" s="40" t="n">
        <v>0.15</v>
      </c>
      <c r="H232" s="8" t="str">
        <f aca="false">IF($A232="","",IFERROR(INDEX(Products!$B$2:$B$50,MATCH($E232,Products!$A$2:$A$50,0)),"Unmapped"))</f>
        <v>Stationery</v>
      </c>
      <c r="I232" s="41" t="n">
        <f aca="false">IF($A232="","",IFERROR(INDEX(Products!$C$2:$C$50,MATCH($E232,Products!$A$2:$A$50,0)),0))</f>
        <v>120</v>
      </c>
      <c r="J232" s="41" t="n">
        <f aca="false">IF($A232="","",IFERROR(INDEX(Products!$D$2:$D$50,MATCH($E232,Products!$A$2:$A$50,0)),0))</f>
        <v>80</v>
      </c>
      <c r="K232" s="41" t="n">
        <f aca="false">IF($A232="","",$F232*$I232*(1-$G232))</f>
        <v>14790</v>
      </c>
      <c r="L232" s="41" t="n">
        <f aca="false">IF($A232="","",$F232*$J232)</f>
        <v>11600</v>
      </c>
      <c r="M232" s="41" t="n">
        <f aca="false">IF($A232="","",$K232-$L232)</f>
        <v>3190</v>
      </c>
    </row>
    <row r="233" customFormat="false" ht="15" hidden="false" customHeight="false" outlineLevel="0" collapsed="false">
      <c r="A233" s="37" t="s">
        <v>332</v>
      </c>
      <c r="B233" s="38" t="n">
        <v>45878</v>
      </c>
      <c r="C233" s="37" t="s">
        <v>78</v>
      </c>
      <c r="D233" s="37" t="s">
        <v>86</v>
      </c>
      <c r="E233" s="37" t="s">
        <v>90</v>
      </c>
      <c r="F233" s="39" t="n">
        <v>191</v>
      </c>
      <c r="G233" s="40" t="n">
        <v>0.15</v>
      </c>
      <c r="H233" s="8" t="str">
        <f aca="false">IF($A233="","",IFERROR(INDEX(Products!$B$2:$B$50,MATCH($E233,Products!$A$2:$A$50,0)),"Unmapped"))</f>
        <v>Stationery</v>
      </c>
      <c r="I233" s="41" t="n">
        <f aca="false">IF($A233="","",IFERROR(INDEX(Products!$C$2:$C$50,MATCH($E233,Products!$A$2:$A$50,0)),0))</f>
        <v>120</v>
      </c>
      <c r="J233" s="41" t="n">
        <f aca="false">IF($A233="","",IFERROR(INDEX(Products!$D$2:$D$50,MATCH($E233,Products!$A$2:$A$50,0)),0))</f>
        <v>80</v>
      </c>
      <c r="K233" s="41" t="n">
        <f aca="false">IF($A233="","",$F233*$I233*(1-$G233))</f>
        <v>19482</v>
      </c>
      <c r="L233" s="41" t="n">
        <f aca="false">IF($A233="","",$F233*$J233)</f>
        <v>15280</v>
      </c>
      <c r="M233" s="41" t="n">
        <f aca="false">IF($A233="","",$K233-$L233)</f>
        <v>4202</v>
      </c>
    </row>
    <row r="234" customFormat="false" ht="15" hidden="false" customHeight="false" outlineLevel="0" collapsed="false">
      <c r="A234" s="37" t="s">
        <v>333</v>
      </c>
      <c r="B234" s="38" t="n">
        <v>45879</v>
      </c>
      <c r="C234" s="37" t="s">
        <v>88</v>
      </c>
      <c r="D234" s="37" t="s">
        <v>111</v>
      </c>
      <c r="E234" s="37" t="s">
        <v>121</v>
      </c>
      <c r="F234" s="39" t="n">
        <v>19</v>
      </c>
      <c r="G234" s="40" t="n">
        <v>0</v>
      </c>
      <c r="H234" s="8" t="str">
        <f aca="false">IF($A234="","",IFERROR(INDEX(Products!$B$2:$B$50,MATCH($E234,Products!$A$2:$A$50,0)),"Unmapped"))</f>
        <v>Electronics</v>
      </c>
      <c r="I234" s="41" t="n">
        <f aca="false">IF($A234="","",IFERROR(INDEX(Products!$C$2:$C$50,MATCH($E234,Products!$A$2:$A$50,0)),0))</f>
        <v>650</v>
      </c>
      <c r="J234" s="41" t="n">
        <f aca="false">IF($A234="","",IFERROR(INDEX(Products!$D$2:$D$50,MATCH($E234,Products!$A$2:$A$50,0)),0))</f>
        <v>430</v>
      </c>
      <c r="K234" s="41" t="n">
        <f aca="false">IF($A234="","",$F234*$I234*(1-$G234))</f>
        <v>12350</v>
      </c>
      <c r="L234" s="41" t="n">
        <f aca="false">IF($A234="","",$F234*$J234)</f>
        <v>8170</v>
      </c>
      <c r="M234" s="41" t="n">
        <f aca="false">IF($A234="","",$K234-$L234)</f>
        <v>4180</v>
      </c>
    </row>
    <row r="235" customFormat="false" ht="15" hidden="false" customHeight="false" outlineLevel="0" collapsed="false">
      <c r="A235" s="37" t="s">
        <v>334</v>
      </c>
      <c r="B235" s="38" t="n">
        <v>45879</v>
      </c>
      <c r="C235" s="37" t="s">
        <v>82</v>
      </c>
      <c r="D235" s="37" t="s">
        <v>83</v>
      </c>
      <c r="E235" s="37" t="s">
        <v>94</v>
      </c>
      <c r="F235" s="39" t="n">
        <v>93</v>
      </c>
      <c r="G235" s="40" t="n">
        <v>0</v>
      </c>
      <c r="H235" s="8" t="str">
        <f aca="false">IF($A235="","",IFERROR(INDEX(Products!$B$2:$B$50,MATCH($E235,Products!$A$2:$A$50,0)),"Unmapped"))</f>
        <v>Stationery</v>
      </c>
      <c r="I235" s="41" t="n">
        <f aca="false">IF($A235="","",IFERROR(INDEX(Products!$C$2:$C$50,MATCH($E235,Products!$A$2:$A$50,0)),0))</f>
        <v>280</v>
      </c>
      <c r="J235" s="41" t="n">
        <f aca="false">IF($A235="","",IFERROR(INDEX(Products!$D$2:$D$50,MATCH($E235,Products!$A$2:$A$50,0)),0))</f>
        <v>210</v>
      </c>
      <c r="K235" s="41" t="n">
        <f aca="false">IF($A235="","",$F235*$I235*(1-$G235))</f>
        <v>26040</v>
      </c>
      <c r="L235" s="41" t="n">
        <f aca="false">IF($A235="","",$F235*$J235)</f>
        <v>19530</v>
      </c>
      <c r="M235" s="41" t="n">
        <f aca="false">IF($A235="","",$K235-$L235)</f>
        <v>6510</v>
      </c>
    </row>
    <row r="236" customFormat="false" ht="15" hidden="false" customHeight="false" outlineLevel="0" collapsed="false">
      <c r="A236" s="37" t="s">
        <v>335</v>
      </c>
      <c r="B236" s="38" t="n">
        <v>45879</v>
      </c>
      <c r="C236" s="37" t="s">
        <v>105</v>
      </c>
      <c r="D236" s="37" t="s">
        <v>116</v>
      </c>
      <c r="E236" s="37" t="s">
        <v>114</v>
      </c>
      <c r="F236" s="39" t="n">
        <v>17</v>
      </c>
      <c r="G236" s="40" t="n">
        <v>0</v>
      </c>
      <c r="H236" s="8" t="str">
        <f aca="false">IF($A236="","",IFERROR(INDEX(Products!$B$2:$B$50,MATCH($E236,Products!$A$2:$A$50,0)),"Unmapped"))</f>
        <v>Pantry</v>
      </c>
      <c r="I236" s="41" t="n">
        <f aca="false">IF($A236="","",IFERROR(INDEX(Products!$C$2:$C$50,MATCH($E236,Products!$A$2:$A$50,0)),0))</f>
        <v>1500</v>
      </c>
      <c r="J236" s="41" t="n">
        <f aca="false">IF($A236="","",IFERROR(INDEX(Products!$D$2:$D$50,MATCH($E236,Products!$A$2:$A$50,0)),0))</f>
        <v>1100</v>
      </c>
      <c r="K236" s="41" t="n">
        <f aca="false">IF($A236="","",$F236*$I236*(1-$G236))</f>
        <v>25500</v>
      </c>
      <c r="L236" s="41" t="n">
        <f aca="false">IF($A236="","",$F236*$J236)</f>
        <v>18700</v>
      </c>
      <c r="M236" s="41" t="n">
        <f aca="false">IF($A236="","",$K236-$L236)</f>
        <v>6800</v>
      </c>
    </row>
    <row r="237" customFormat="false" ht="15" hidden="false" customHeight="false" outlineLevel="0" collapsed="false">
      <c r="A237" s="37" t="s">
        <v>336</v>
      </c>
      <c r="B237" s="38" t="n">
        <v>45880</v>
      </c>
      <c r="C237" s="37" t="s">
        <v>78</v>
      </c>
      <c r="D237" s="37" t="s">
        <v>79</v>
      </c>
      <c r="E237" s="37" t="s">
        <v>174</v>
      </c>
      <c r="F237" s="39" t="n">
        <v>5</v>
      </c>
      <c r="G237" s="40" t="n">
        <v>0.05</v>
      </c>
      <c r="H237" s="8" t="str">
        <f aca="false">IF($A237="","",IFERROR(INDEX(Products!$B$2:$B$50,MATCH($E237,Products!$A$2:$A$50,0)),"Unmapped"))</f>
        <v>Electronics</v>
      </c>
      <c r="I237" s="41" t="n">
        <f aca="false">IF($A237="","",IFERROR(INDEX(Products!$C$2:$C$50,MATCH($E237,Products!$A$2:$A$50,0)),0))</f>
        <v>9800</v>
      </c>
      <c r="J237" s="41" t="n">
        <f aca="false">IF($A237="","",IFERROR(INDEX(Products!$D$2:$D$50,MATCH($E237,Products!$A$2:$A$50,0)),0))</f>
        <v>7600</v>
      </c>
      <c r="K237" s="41" t="n">
        <f aca="false">IF($A237="","",$F237*$I237*(1-$G237))</f>
        <v>46550</v>
      </c>
      <c r="L237" s="41" t="n">
        <f aca="false">IF($A237="","",$F237*$J237)</f>
        <v>38000</v>
      </c>
      <c r="M237" s="41" t="n">
        <f aca="false">IF($A237="","",$K237-$L237)</f>
        <v>8550</v>
      </c>
    </row>
    <row r="238" customFormat="false" ht="15" hidden="false" customHeight="false" outlineLevel="0" collapsed="false">
      <c r="A238" s="37" t="s">
        <v>337</v>
      </c>
      <c r="B238" s="38" t="n">
        <v>45880</v>
      </c>
      <c r="C238" s="37" t="s">
        <v>82</v>
      </c>
      <c r="D238" s="37" t="s">
        <v>93</v>
      </c>
      <c r="E238" s="37" t="s">
        <v>96</v>
      </c>
      <c r="F238" s="39" t="n">
        <v>10</v>
      </c>
      <c r="G238" s="40" t="n">
        <v>0.05</v>
      </c>
      <c r="H238" s="8" t="str">
        <f aca="false">IF($A238="","",IFERROR(INDEX(Products!$B$2:$B$50,MATCH($E238,Products!$A$2:$A$50,0)),"Unmapped"))</f>
        <v>Furniture</v>
      </c>
      <c r="I238" s="41" t="n">
        <f aca="false">IF($A238="","",IFERROR(INDEX(Products!$C$2:$C$50,MATCH($E238,Products!$A$2:$A$50,0)),0))</f>
        <v>4800</v>
      </c>
      <c r="J238" s="41" t="n">
        <f aca="false">IF($A238="","",IFERROR(INDEX(Products!$D$2:$D$50,MATCH($E238,Products!$A$2:$A$50,0)),0))</f>
        <v>3500</v>
      </c>
      <c r="K238" s="41" t="n">
        <f aca="false">IF($A238="","",$F238*$I238*(1-$G238))</f>
        <v>45600</v>
      </c>
      <c r="L238" s="41" t="n">
        <f aca="false">IF($A238="","",$F238*$J238)</f>
        <v>35000</v>
      </c>
      <c r="M238" s="41" t="n">
        <f aca="false">IF($A238="","",$K238-$L238)</f>
        <v>10600</v>
      </c>
    </row>
    <row r="239" customFormat="false" ht="15" hidden="false" customHeight="false" outlineLevel="0" collapsed="false">
      <c r="A239" s="37" t="s">
        <v>338</v>
      </c>
      <c r="B239" s="38" t="n">
        <v>45881</v>
      </c>
      <c r="C239" s="37" t="s">
        <v>105</v>
      </c>
      <c r="D239" s="37" t="s">
        <v>116</v>
      </c>
      <c r="E239" s="37" t="s">
        <v>94</v>
      </c>
      <c r="F239" s="39" t="n">
        <v>126</v>
      </c>
      <c r="G239" s="40" t="n">
        <v>0.15</v>
      </c>
      <c r="H239" s="8" t="str">
        <f aca="false">IF($A239="","",IFERROR(INDEX(Products!$B$2:$B$50,MATCH($E239,Products!$A$2:$A$50,0)),"Unmapped"))</f>
        <v>Stationery</v>
      </c>
      <c r="I239" s="41" t="n">
        <f aca="false">IF($A239="","",IFERROR(INDEX(Products!$C$2:$C$50,MATCH($E239,Products!$A$2:$A$50,0)),0))</f>
        <v>280</v>
      </c>
      <c r="J239" s="41" t="n">
        <f aca="false">IF($A239="","",IFERROR(INDEX(Products!$D$2:$D$50,MATCH($E239,Products!$A$2:$A$50,0)),0))</f>
        <v>210</v>
      </c>
      <c r="K239" s="41" t="n">
        <f aca="false">IF($A239="","",$F239*$I239*(1-$G239))</f>
        <v>29988</v>
      </c>
      <c r="L239" s="41" t="n">
        <f aca="false">IF($A239="","",$F239*$J239)</f>
        <v>26460</v>
      </c>
      <c r="M239" s="41" t="n">
        <f aca="false">IF($A239="","",$K239-$L239)</f>
        <v>3528</v>
      </c>
    </row>
    <row r="240" customFormat="false" ht="15" hidden="false" customHeight="false" outlineLevel="0" collapsed="false">
      <c r="A240" s="37" t="s">
        <v>339</v>
      </c>
      <c r="B240" s="38" t="n">
        <v>45882</v>
      </c>
      <c r="C240" s="37" t="s">
        <v>78</v>
      </c>
      <c r="D240" s="37" t="s">
        <v>86</v>
      </c>
      <c r="E240" s="37" t="s">
        <v>157</v>
      </c>
      <c r="F240" s="39" t="n">
        <v>10</v>
      </c>
      <c r="G240" s="40" t="n">
        <v>0.1</v>
      </c>
      <c r="H240" s="8" t="str">
        <f aca="false">IF($A240="","",IFERROR(INDEX(Products!$B$2:$B$50,MATCH($E240,Products!$A$2:$A$50,0)),"Unmapped"))</f>
        <v>Electronics</v>
      </c>
      <c r="I240" s="41" t="n">
        <f aca="false">IF($A240="","",IFERROR(INDEX(Products!$C$2:$C$50,MATCH($E240,Products!$A$2:$A$50,0)),0))</f>
        <v>8900</v>
      </c>
      <c r="J240" s="41" t="n">
        <f aca="false">IF($A240="","",IFERROR(INDEX(Products!$D$2:$D$50,MATCH($E240,Products!$A$2:$A$50,0)),0))</f>
        <v>7000</v>
      </c>
      <c r="K240" s="41" t="n">
        <f aca="false">IF($A240="","",$F240*$I240*(1-$G240))</f>
        <v>80100</v>
      </c>
      <c r="L240" s="41" t="n">
        <f aca="false">IF($A240="","",$F240*$J240)</f>
        <v>70000</v>
      </c>
      <c r="M240" s="41" t="n">
        <f aca="false">IF($A240="","",$K240-$L240)</f>
        <v>10100</v>
      </c>
    </row>
    <row r="241" customFormat="false" ht="15" hidden="false" customHeight="false" outlineLevel="0" collapsed="false">
      <c r="A241" s="37" t="s">
        <v>340</v>
      </c>
      <c r="B241" s="38" t="n">
        <v>45883</v>
      </c>
      <c r="C241" s="37" t="s">
        <v>78</v>
      </c>
      <c r="D241" s="37" t="s">
        <v>79</v>
      </c>
      <c r="E241" s="37" t="s">
        <v>84</v>
      </c>
      <c r="F241" s="39" t="n">
        <v>30</v>
      </c>
      <c r="G241" s="40" t="n">
        <v>0.1</v>
      </c>
      <c r="H241" s="8" t="str">
        <f aca="false">IF($A241="","",IFERROR(INDEX(Products!$B$2:$B$50,MATCH($E241,Products!$A$2:$A$50,0)),"Unmapped"))</f>
        <v>Stationery</v>
      </c>
      <c r="I241" s="41" t="n">
        <f aca="false">IF($A241="","",IFERROR(INDEX(Products!$C$2:$C$50,MATCH($E241,Products!$A$2:$A$50,0)),0))</f>
        <v>350</v>
      </c>
      <c r="J241" s="41" t="n">
        <f aca="false">IF($A241="","",IFERROR(INDEX(Products!$D$2:$D$50,MATCH($E241,Products!$A$2:$A$50,0)),0))</f>
        <v>240</v>
      </c>
      <c r="K241" s="41" t="n">
        <f aca="false">IF($A241="","",$F241*$I241*(1-$G241))</f>
        <v>9450</v>
      </c>
      <c r="L241" s="41" t="n">
        <f aca="false">IF($A241="","",$F241*$J241)</f>
        <v>7200</v>
      </c>
      <c r="M241" s="41" t="n">
        <f aca="false">IF($A241="","",$K241-$L241)</f>
        <v>2250</v>
      </c>
    </row>
    <row r="242" customFormat="false" ht="15" hidden="false" customHeight="false" outlineLevel="0" collapsed="false">
      <c r="A242" s="37" t="s">
        <v>341</v>
      </c>
      <c r="B242" s="38" t="n">
        <v>45883</v>
      </c>
      <c r="C242" s="37" t="s">
        <v>78</v>
      </c>
      <c r="D242" s="37" t="s">
        <v>86</v>
      </c>
      <c r="E242" s="37" t="s">
        <v>134</v>
      </c>
      <c r="F242" s="39" t="n">
        <v>10</v>
      </c>
      <c r="G242" s="40" t="n">
        <v>0.1</v>
      </c>
      <c r="H242" s="8" t="str">
        <f aca="false">IF($A242="","",IFERROR(INDEX(Products!$B$2:$B$50,MATCH($E242,Products!$A$2:$A$50,0)),"Unmapped"))</f>
        <v>Furniture</v>
      </c>
      <c r="I242" s="41" t="n">
        <f aca="false">IF($A242="","",IFERROR(INDEX(Products!$C$2:$C$50,MATCH($E242,Products!$A$2:$A$50,0)),0))</f>
        <v>6100</v>
      </c>
      <c r="J242" s="41" t="n">
        <f aca="false">IF($A242="","",IFERROR(INDEX(Products!$D$2:$D$50,MATCH($E242,Products!$A$2:$A$50,0)),0))</f>
        <v>4500</v>
      </c>
      <c r="K242" s="41" t="n">
        <f aca="false">IF($A242="","",$F242*$I242*(1-$G242))</f>
        <v>54900</v>
      </c>
      <c r="L242" s="41" t="n">
        <f aca="false">IF($A242="","",$F242*$J242)</f>
        <v>45000</v>
      </c>
      <c r="M242" s="41" t="n">
        <f aca="false">IF($A242="","",$K242-$L242)</f>
        <v>9900</v>
      </c>
    </row>
    <row r="243" customFormat="false" ht="15" hidden="false" customHeight="false" outlineLevel="0" collapsed="false">
      <c r="A243" s="37" t="s">
        <v>342</v>
      </c>
      <c r="B243" s="38" t="n">
        <v>45884</v>
      </c>
      <c r="C243" s="37" t="s">
        <v>78</v>
      </c>
      <c r="D243" s="37" t="s">
        <v>79</v>
      </c>
      <c r="E243" s="37" t="s">
        <v>84</v>
      </c>
      <c r="F243" s="39" t="n">
        <v>123</v>
      </c>
      <c r="G243" s="40" t="n">
        <v>0.1</v>
      </c>
      <c r="H243" s="8" t="str">
        <f aca="false">IF($A243="","",IFERROR(INDEX(Products!$B$2:$B$50,MATCH($E243,Products!$A$2:$A$50,0)),"Unmapped"))</f>
        <v>Stationery</v>
      </c>
      <c r="I243" s="41" t="n">
        <f aca="false">IF($A243="","",IFERROR(INDEX(Products!$C$2:$C$50,MATCH($E243,Products!$A$2:$A$50,0)),0))</f>
        <v>350</v>
      </c>
      <c r="J243" s="41" t="n">
        <f aca="false">IF($A243="","",IFERROR(INDEX(Products!$D$2:$D$50,MATCH($E243,Products!$A$2:$A$50,0)),0))</f>
        <v>240</v>
      </c>
      <c r="K243" s="41" t="n">
        <f aca="false">IF($A243="","",$F243*$I243*(1-$G243))</f>
        <v>38745</v>
      </c>
      <c r="L243" s="41" t="n">
        <f aca="false">IF($A243="","",$F243*$J243)</f>
        <v>29520</v>
      </c>
      <c r="M243" s="41" t="n">
        <f aca="false">IF($A243="","",$K243-$L243)</f>
        <v>9225</v>
      </c>
    </row>
    <row r="244" customFormat="false" ht="15" hidden="false" customHeight="false" outlineLevel="0" collapsed="false">
      <c r="A244" s="37" t="s">
        <v>343</v>
      </c>
      <c r="B244" s="38" t="n">
        <v>45884</v>
      </c>
      <c r="C244" s="37" t="s">
        <v>78</v>
      </c>
      <c r="D244" s="37" t="s">
        <v>79</v>
      </c>
      <c r="E244" s="37" t="s">
        <v>103</v>
      </c>
      <c r="F244" s="39" t="n">
        <v>29</v>
      </c>
      <c r="G244" s="40" t="n">
        <v>0.05</v>
      </c>
      <c r="H244" s="8" t="str">
        <f aca="false">IF($A244="","",IFERROR(INDEX(Products!$B$2:$B$50,MATCH($E244,Products!$A$2:$A$50,0)),"Unmapped"))</f>
        <v>Electronics</v>
      </c>
      <c r="I244" s="41" t="n">
        <f aca="false">IF($A244="","",IFERROR(INDEX(Products!$C$2:$C$50,MATCH($E244,Products!$A$2:$A$50,0)),0))</f>
        <v>900</v>
      </c>
      <c r="J244" s="41" t="n">
        <f aca="false">IF($A244="","",IFERROR(INDEX(Products!$D$2:$D$50,MATCH($E244,Products!$A$2:$A$50,0)),0))</f>
        <v>620</v>
      </c>
      <c r="K244" s="41" t="n">
        <f aca="false">IF($A244="","",$F244*$I244*(1-$G244))</f>
        <v>24795</v>
      </c>
      <c r="L244" s="41" t="n">
        <f aca="false">IF($A244="","",$F244*$J244)</f>
        <v>17980</v>
      </c>
      <c r="M244" s="41" t="n">
        <f aca="false">IF($A244="","",$K244-$L244)</f>
        <v>6815</v>
      </c>
    </row>
    <row r="245" customFormat="false" ht="15" hidden="false" customHeight="false" outlineLevel="0" collapsed="false">
      <c r="A245" s="37" t="s">
        <v>344</v>
      </c>
      <c r="B245" s="38" t="n">
        <v>45885</v>
      </c>
      <c r="C245" s="37" t="s">
        <v>105</v>
      </c>
      <c r="D245" s="37" t="s">
        <v>116</v>
      </c>
      <c r="E245" s="37" t="s">
        <v>94</v>
      </c>
      <c r="F245" s="39" t="n">
        <v>120</v>
      </c>
      <c r="G245" s="40" t="n">
        <v>0.05</v>
      </c>
      <c r="H245" s="8" t="str">
        <f aca="false">IF($A245="","",IFERROR(INDEX(Products!$B$2:$B$50,MATCH($E245,Products!$A$2:$A$50,0)),"Unmapped"))</f>
        <v>Stationery</v>
      </c>
      <c r="I245" s="41" t="n">
        <f aca="false">IF($A245="","",IFERROR(INDEX(Products!$C$2:$C$50,MATCH($E245,Products!$A$2:$A$50,0)),0))</f>
        <v>280</v>
      </c>
      <c r="J245" s="41" t="n">
        <f aca="false">IF($A245="","",IFERROR(INDEX(Products!$D$2:$D$50,MATCH($E245,Products!$A$2:$A$50,0)),0))</f>
        <v>210</v>
      </c>
      <c r="K245" s="41" t="n">
        <f aca="false">IF($A245="","",$F245*$I245*(1-$G245))</f>
        <v>31920</v>
      </c>
      <c r="L245" s="41" t="n">
        <f aca="false">IF($A245="","",$F245*$J245)</f>
        <v>25200</v>
      </c>
      <c r="M245" s="41" t="n">
        <f aca="false">IF($A245="","",$K245-$L245)</f>
        <v>6720</v>
      </c>
    </row>
    <row r="246" customFormat="false" ht="15" hidden="false" customHeight="false" outlineLevel="0" collapsed="false">
      <c r="A246" s="37" t="s">
        <v>345</v>
      </c>
      <c r="B246" s="38" t="n">
        <v>45886</v>
      </c>
      <c r="C246" s="37" t="s">
        <v>88</v>
      </c>
      <c r="D246" s="37" t="s">
        <v>111</v>
      </c>
      <c r="E246" s="37" t="s">
        <v>84</v>
      </c>
      <c r="F246" s="39" t="n">
        <v>140</v>
      </c>
      <c r="G246" s="40" t="n">
        <v>0</v>
      </c>
      <c r="H246" s="8" t="str">
        <f aca="false">IF($A246="","",IFERROR(INDEX(Products!$B$2:$B$50,MATCH($E246,Products!$A$2:$A$50,0)),"Unmapped"))</f>
        <v>Stationery</v>
      </c>
      <c r="I246" s="41" t="n">
        <f aca="false">IF($A246="","",IFERROR(INDEX(Products!$C$2:$C$50,MATCH($E246,Products!$A$2:$A$50,0)),0))</f>
        <v>350</v>
      </c>
      <c r="J246" s="41" t="n">
        <f aca="false">IF($A246="","",IFERROR(INDEX(Products!$D$2:$D$50,MATCH($E246,Products!$A$2:$A$50,0)),0))</f>
        <v>240</v>
      </c>
      <c r="K246" s="41" t="n">
        <f aca="false">IF($A246="","",$F246*$I246*(1-$G246))</f>
        <v>49000</v>
      </c>
      <c r="L246" s="41" t="n">
        <f aca="false">IF($A246="","",$F246*$J246)</f>
        <v>33600</v>
      </c>
      <c r="M246" s="41" t="n">
        <f aca="false">IF($A246="","",$K246-$L246)</f>
        <v>15400</v>
      </c>
    </row>
    <row r="247" customFormat="false" ht="15" hidden="false" customHeight="false" outlineLevel="0" collapsed="false">
      <c r="A247" s="37" t="s">
        <v>346</v>
      </c>
      <c r="B247" s="38" t="n">
        <v>45887</v>
      </c>
      <c r="C247" s="37" t="s">
        <v>88</v>
      </c>
      <c r="D247" s="37" t="s">
        <v>111</v>
      </c>
      <c r="E247" s="37" t="s">
        <v>114</v>
      </c>
      <c r="F247" s="39" t="n">
        <v>16</v>
      </c>
      <c r="G247" s="40" t="n">
        <v>0.05</v>
      </c>
      <c r="H247" s="8" t="str">
        <f aca="false">IF($A247="","",IFERROR(INDEX(Products!$B$2:$B$50,MATCH($E247,Products!$A$2:$A$50,0)),"Unmapped"))</f>
        <v>Pantry</v>
      </c>
      <c r="I247" s="41" t="n">
        <f aca="false">IF($A247="","",IFERROR(INDEX(Products!$C$2:$C$50,MATCH($E247,Products!$A$2:$A$50,0)),0))</f>
        <v>1500</v>
      </c>
      <c r="J247" s="41" t="n">
        <f aca="false">IF($A247="","",IFERROR(INDEX(Products!$D$2:$D$50,MATCH($E247,Products!$A$2:$A$50,0)),0))</f>
        <v>1100</v>
      </c>
      <c r="K247" s="41" t="n">
        <f aca="false">IF($A247="","",$F247*$I247*(1-$G247))</f>
        <v>22800</v>
      </c>
      <c r="L247" s="41" t="n">
        <f aca="false">IF($A247="","",$F247*$J247)</f>
        <v>17600</v>
      </c>
      <c r="M247" s="41" t="n">
        <f aca="false">IF($A247="","",$K247-$L247)</f>
        <v>5200</v>
      </c>
    </row>
    <row r="248" customFormat="false" ht="15" hidden="false" customHeight="false" outlineLevel="0" collapsed="false">
      <c r="A248" s="37" t="s">
        <v>347</v>
      </c>
      <c r="B248" s="38" t="n">
        <v>45887</v>
      </c>
      <c r="C248" s="37" t="s">
        <v>82</v>
      </c>
      <c r="D248" s="37" t="s">
        <v>83</v>
      </c>
      <c r="E248" s="37" t="s">
        <v>90</v>
      </c>
      <c r="F248" s="39" t="n">
        <v>108</v>
      </c>
      <c r="G248" s="40" t="n">
        <v>0</v>
      </c>
      <c r="H248" s="8" t="str">
        <f aca="false">IF($A248="","",IFERROR(INDEX(Products!$B$2:$B$50,MATCH($E248,Products!$A$2:$A$50,0)),"Unmapped"))</f>
        <v>Stationery</v>
      </c>
      <c r="I248" s="41" t="n">
        <f aca="false">IF($A248="","",IFERROR(INDEX(Products!$C$2:$C$50,MATCH($E248,Products!$A$2:$A$50,0)),0))</f>
        <v>120</v>
      </c>
      <c r="J248" s="41" t="n">
        <f aca="false">IF($A248="","",IFERROR(INDEX(Products!$D$2:$D$50,MATCH($E248,Products!$A$2:$A$50,0)),0))</f>
        <v>80</v>
      </c>
      <c r="K248" s="41" t="n">
        <f aca="false">IF($A248="","",$F248*$I248*(1-$G248))</f>
        <v>12960</v>
      </c>
      <c r="L248" s="41" t="n">
        <f aca="false">IF($A248="","",$F248*$J248)</f>
        <v>8640</v>
      </c>
      <c r="M248" s="41" t="n">
        <f aca="false">IF($A248="","",$K248-$L248)</f>
        <v>4320</v>
      </c>
    </row>
    <row r="249" customFormat="false" ht="15" hidden="false" customHeight="false" outlineLevel="0" collapsed="false">
      <c r="A249" s="37" t="s">
        <v>348</v>
      </c>
      <c r="B249" s="38" t="n">
        <v>45888</v>
      </c>
      <c r="C249" s="37" t="s">
        <v>88</v>
      </c>
      <c r="D249" s="37" t="s">
        <v>111</v>
      </c>
      <c r="E249" s="37" t="s">
        <v>90</v>
      </c>
      <c r="F249" s="39" t="n">
        <v>40</v>
      </c>
      <c r="G249" s="40" t="n">
        <v>0.05</v>
      </c>
      <c r="H249" s="8" t="str">
        <f aca="false">IF($A249="","",IFERROR(INDEX(Products!$B$2:$B$50,MATCH($E249,Products!$A$2:$A$50,0)),"Unmapped"))</f>
        <v>Stationery</v>
      </c>
      <c r="I249" s="41" t="n">
        <f aca="false">IF($A249="","",IFERROR(INDEX(Products!$C$2:$C$50,MATCH($E249,Products!$A$2:$A$50,0)),0))</f>
        <v>120</v>
      </c>
      <c r="J249" s="41" t="n">
        <f aca="false">IF($A249="","",IFERROR(INDEX(Products!$D$2:$D$50,MATCH($E249,Products!$A$2:$A$50,0)),0))</f>
        <v>80</v>
      </c>
      <c r="K249" s="41" t="n">
        <f aca="false">IF($A249="","",$F249*$I249*(1-$G249))</f>
        <v>4560</v>
      </c>
      <c r="L249" s="41" t="n">
        <f aca="false">IF($A249="","",$F249*$J249)</f>
        <v>3200</v>
      </c>
      <c r="M249" s="41" t="n">
        <f aca="false">IF($A249="","",$K249-$L249)</f>
        <v>1360</v>
      </c>
    </row>
    <row r="250" customFormat="false" ht="15" hidden="false" customHeight="false" outlineLevel="0" collapsed="false">
      <c r="A250" s="37" t="s">
        <v>349</v>
      </c>
      <c r="B250" s="38" t="n">
        <v>45888</v>
      </c>
      <c r="C250" s="37" t="s">
        <v>78</v>
      </c>
      <c r="D250" s="37" t="s">
        <v>79</v>
      </c>
      <c r="E250" s="37" t="s">
        <v>94</v>
      </c>
      <c r="F250" s="39" t="n">
        <v>188</v>
      </c>
      <c r="G250" s="40" t="n">
        <v>0</v>
      </c>
      <c r="H250" s="8" t="str">
        <f aca="false">IF($A250="","",IFERROR(INDEX(Products!$B$2:$B$50,MATCH($E250,Products!$A$2:$A$50,0)),"Unmapped"))</f>
        <v>Stationery</v>
      </c>
      <c r="I250" s="41" t="n">
        <f aca="false">IF($A250="","",IFERROR(INDEX(Products!$C$2:$C$50,MATCH($E250,Products!$A$2:$A$50,0)),0))</f>
        <v>280</v>
      </c>
      <c r="J250" s="41" t="n">
        <f aca="false">IF($A250="","",IFERROR(INDEX(Products!$D$2:$D$50,MATCH($E250,Products!$A$2:$A$50,0)),0))</f>
        <v>210</v>
      </c>
      <c r="K250" s="41" t="n">
        <f aca="false">IF($A250="","",$F250*$I250*(1-$G250))</f>
        <v>52640</v>
      </c>
      <c r="L250" s="41" t="n">
        <f aca="false">IF($A250="","",$F250*$J250)</f>
        <v>39480</v>
      </c>
      <c r="M250" s="41" t="n">
        <f aca="false">IF($A250="","",$K250-$L250)</f>
        <v>13160</v>
      </c>
    </row>
    <row r="251" customFormat="false" ht="15" hidden="false" customHeight="false" outlineLevel="0" collapsed="false">
      <c r="A251" s="37" t="s">
        <v>350</v>
      </c>
      <c r="B251" s="38" t="n">
        <v>45890</v>
      </c>
      <c r="C251" s="37" t="s">
        <v>105</v>
      </c>
      <c r="D251" s="37" t="s">
        <v>106</v>
      </c>
      <c r="E251" s="37" t="s">
        <v>114</v>
      </c>
      <c r="F251" s="39" t="n">
        <v>5</v>
      </c>
      <c r="G251" s="40" t="n">
        <v>0.1</v>
      </c>
      <c r="H251" s="8" t="str">
        <f aca="false">IF($A251="","",IFERROR(INDEX(Products!$B$2:$B$50,MATCH($E251,Products!$A$2:$A$50,0)),"Unmapped"))</f>
        <v>Pantry</v>
      </c>
      <c r="I251" s="41" t="n">
        <f aca="false">IF($A251="","",IFERROR(INDEX(Products!$C$2:$C$50,MATCH($E251,Products!$A$2:$A$50,0)),0))</f>
        <v>1500</v>
      </c>
      <c r="J251" s="41" t="n">
        <f aca="false">IF($A251="","",IFERROR(INDEX(Products!$D$2:$D$50,MATCH($E251,Products!$A$2:$A$50,0)),0))</f>
        <v>1100</v>
      </c>
      <c r="K251" s="41" t="n">
        <f aca="false">IF($A251="","",$F251*$I251*(1-$G251))</f>
        <v>6750</v>
      </c>
      <c r="L251" s="41" t="n">
        <f aca="false">IF($A251="","",$F251*$J251)</f>
        <v>5500</v>
      </c>
      <c r="M251" s="41" t="n">
        <f aca="false">IF($A251="","",$K251-$L251)</f>
        <v>1250</v>
      </c>
    </row>
    <row r="252" customFormat="false" ht="15" hidden="false" customHeight="false" outlineLevel="0" collapsed="false">
      <c r="A252" s="37" t="s">
        <v>351</v>
      </c>
      <c r="B252" s="38" t="n">
        <v>45890</v>
      </c>
      <c r="C252" s="37" t="s">
        <v>105</v>
      </c>
      <c r="D252" s="37" t="s">
        <v>106</v>
      </c>
      <c r="E252" s="37" t="s">
        <v>134</v>
      </c>
      <c r="F252" s="39" t="n">
        <v>1</v>
      </c>
      <c r="G252" s="40" t="n">
        <v>0.05</v>
      </c>
      <c r="H252" s="8" t="str">
        <f aca="false">IF($A252="","",IFERROR(INDEX(Products!$B$2:$B$50,MATCH($E252,Products!$A$2:$A$50,0)),"Unmapped"))</f>
        <v>Furniture</v>
      </c>
      <c r="I252" s="41" t="n">
        <f aca="false">IF($A252="","",IFERROR(INDEX(Products!$C$2:$C$50,MATCH($E252,Products!$A$2:$A$50,0)),0))</f>
        <v>6100</v>
      </c>
      <c r="J252" s="41" t="n">
        <f aca="false">IF($A252="","",IFERROR(INDEX(Products!$D$2:$D$50,MATCH($E252,Products!$A$2:$A$50,0)),0))</f>
        <v>4500</v>
      </c>
      <c r="K252" s="41" t="n">
        <f aca="false">IF($A252="","",$F252*$I252*(1-$G252))</f>
        <v>5795</v>
      </c>
      <c r="L252" s="41" t="n">
        <f aca="false">IF($A252="","",$F252*$J252)</f>
        <v>4500</v>
      </c>
      <c r="M252" s="41" t="n">
        <f aca="false">IF($A252="","",$K252-$L252)</f>
        <v>1295</v>
      </c>
    </row>
    <row r="253" customFormat="false" ht="15" hidden="false" customHeight="false" outlineLevel="0" collapsed="false">
      <c r="A253" s="37" t="s">
        <v>352</v>
      </c>
      <c r="B253" s="38" t="n">
        <v>45891</v>
      </c>
      <c r="C253" s="37" t="s">
        <v>105</v>
      </c>
      <c r="D253" s="37" t="s">
        <v>116</v>
      </c>
      <c r="E253" s="37" t="s">
        <v>114</v>
      </c>
      <c r="F253" s="39" t="n">
        <v>12</v>
      </c>
      <c r="G253" s="40" t="n">
        <v>0.1</v>
      </c>
      <c r="H253" s="8" t="str">
        <f aca="false">IF($A253="","",IFERROR(INDEX(Products!$B$2:$B$50,MATCH($E253,Products!$A$2:$A$50,0)),"Unmapped"))</f>
        <v>Pantry</v>
      </c>
      <c r="I253" s="41" t="n">
        <f aca="false">IF($A253="","",IFERROR(INDEX(Products!$C$2:$C$50,MATCH($E253,Products!$A$2:$A$50,0)),0))</f>
        <v>1500</v>
      </c>
      <c r="J253" s="41" t="n">
        <f aca="false">IF($A253="","",IFERROR(INDEX(Products!$D$2:$D$50,MATCH($E253,Products!$A$2:$A$50,0)),0))</f>
        <v>1100</v>
      </c>
      <c r="K253" s="41" t="n">
        <f aca="false">IF($A253="","",$F253*$I253*(1-$G253))</f>
        <v>16200</v>
      </c>
      <c r="L253" s="41" t="n">
        <f aca="false">IF($A253="","",$F253*$J253)</f>
        <v>13200</v>
      </c>
      <c r="M253" s="41" t="n">
        <f aca="false">IF($A253="","",$K253-$L253)</f>
        <v>3000</v>
      </c>
    </row>
    <row r="254" customFormat="false" ht="15" hidden="false" customHeight="false" outlineLevel="0" collapsed="false">
      <c r="A254" s="37" t="s">
        <v>353</v>
      </c>
      <c r="B254" s="38" t="n">
        <v>45891</v>
      </c>
      <c r="C254" s="37" t="s">
        <v>78</v>
      </c>
      <c r="D254" s="37" t="s">
        <v>79</v>
      </c>
      <c r="E254" s="37" t="s">
        <v>157</v>
      </c>
      <c r="F254" s="39" t="n">
        <v>26</v>
      </c>
      <c r="G254" s="40" t="n">
        <v>0.05</v>
      </c>
      <c r="H254" s="8" t="str">
        <f aca="false">IF($A254="","",IFERROR(INDEX(Products!$B$2:$B$50,MATCH($E254,Products!$A$2:$A$50,0)),"Unmapped"))</f>
        <v>Electronics</v>
      </c>
      <c r="I254" s="41" t="n">
        <f aca="false">IF($A254="","",IFERROR(INDEX(Products!$C$2:$C$50,MATCH($E254,Products!$A$2:$A$50,0)),0))</f>
        <v>8900</v>
      </c>
      <c r="J254" s="41" t="n">
        <f aca="false">IF($A254="","",IFERROR(INDEX(Products!$D$2:$D$50,MATCH($E254,Products!$A$2:$A$50,0)),0))</f>
        <v>7000</v>
      </c>
      <c r="K254" s="41" t="n">
        <f aca="false">IF($A254="","",$F254*$I254*(1-$G254))</f>
        <v>219830</v>
      </c>
      <c r="L254" s="41" t="n">
        <f aca="false">IF($A254="","",$F254*$J254)</f>
        <v>182000</v>
      </c>
      <c r="M254" s="41" t="n">
        <f aca="false">IF($A254="","",$K254-$L254)</f>
        <v>37830</v>
      </c>
    </row>
    <row r="255" customFormat="false" ht="15" hidden="false" customHeight="false" outlineLevel="0" collapsed="false">
      <c r="A255" s="37" t="s">
        <v>354</v>
      </c>
      <c r="B255" s="38" t="n">
        <v>45892</v>
      </c>
      <c r="C255" s="37" t="s">
        <v>82</v>
      </c>
      <c r="D255" s="37" t="s">
        <v>93</v>
      </c>
      <c r="E255" s="37" t="s">
        <v>103</v>
      </c>
      <c r="F255" s="39" t="n">
        <v>13</v>
      </c>
      <c r="G255" s="40" t="n">
        <v>0</v>
      </c>
      <c r="H255" s="8" t="str">
        <f aca="false">IF($A255="","",IFERROR(INDEX(Products!$B$2:$B$50,MATCH($E255,Products!$A$2:$A$50,0)),"Unmapped"))</f>
        <v>Electronics</v>
      </c>
      <c r="I255" s="41" t="n">
        <f aca="false">IF($A255="","",IFERROR(INDEX(Products!$C$2:$C$50,MATCH($E255,Products!$A$2:$A$50,0)),0))</f>
        <v>900</v>
      </c>
      <c r="J255" s="41" t="n">
        <f aca="false">IF($A255="","",IFERROR(INDEX(Products!$D$2:$D$50,MATCH($E255,Products!$A$2:$A$50,0)),0))</f>
        <v>620</v>
      </c>
      <c r="K255" s="41" t="n">
        <f aca="false">IF($A255="","",$F255*$I255*(1-$G255))</f>
        <v>11700</v>
      </c>
      <c r="L255" s="41" t="n">
        <f aca="false">IF($A255="","",$F255*$J255)</f>
        <v>8060</v>
      </c>
      <c r="M255" s="41" t="n">
        <f aca="false">IF($A255="","",$K255-$L255)</f>
        <v>3640</v>
      </c>
    </row>
    <row r="256" customFormat="false" ht="15" hidden="false" customHeight="false" outlineLevel="0" collapsed="false">
      <c r="A256" s="37" t="s">
        <v>355</v>
      </c>
      <c r="B256" s="38" t="n">
        <v>45892</v>
      </c>
      <c r="C256" s="37" t="s">
        <v>78</v>
      </c>
      <c r="D256" s="37" t="s">
        <v>86</v>
      </c>
      <c r="E256" s="37" t="s">
        <v>96</v>
      </c>
      <c r="F256" s="39" t="n">
        <v>7</v>
      </c>
      <c r="G256" s="40" t="n">
        <v>0</v>
      </c>
      <c r="H256" s="8" t="str">
        <f aca="false">IF($A256="","",IFERROR(INDEX(Products!$B$2:$B$50,MATCH($E256,Products!$A$2:$A$50,0)),"Unmapped"))</f>
        <v>Furniture</v>
      </c>
      <c r="I256" s="41" t="n">
        <f aca="false">IF($A256="","",IFERROR(INDEX(Products!$C$2:$C$50,MATCH($E256,Products!$A$2:$A$50,0)),0))</f>
        <v>4800</v>
      </c>
      <c r="J256" s="41" t="n">
        <f aca="false">IF($A256="","",IFERROR(INDEX(Products!$D$2:$D$50,MATCH($E256,Products!$A$2:$A$50,0)),0))</f>
        <v>3500</v>
      </c>
      <c r="K256" s="41" t="n">
        <f aca="false">IF($A256="","",$F256*$I256*(1-$G256))</f>
        <v>33600</v>
      </c>
      <c r="L256" s="41" t="n">
        <f aca="false">IF($A256="","",$F256*$J256)</f>
        <v>24500</v>
      </c>
      <c r="M256" s="41" t="n">
        <f aca="false">IF($A256="","",$K256-$L256)</f>
        <v>9100</v>
      </c>
    </row>
    <row r="257" customFormat="false" ht="15" hidden="false" customHeight="false" outlineLevel="0" collapsed="false">
      <c r="A257" s="37" t="s">
        <v>356</v>
      </c>
      <c r="B257" s="38" t="n">
        <v>45892</v>
      </c>
      <c r="C257" s="37" t="s">
        <v>105</v>
      </c>
      <c r="D257" s="37" t="s">
        <v>116</v>
      </c>
      <c r="E257" s="37" t="s">
        <v>80</v>
      </c>
      <c r="F257" s="39" t="n">
        <v>10</v>
      </c>
      <c r="G257" s="40" t="n">
        <v>0.05</v>
      </c>
      <c r="H257" s="8" t="str">
        <f aca="false">IF($A257="","",IFERROR(INDEX(Products!$B$2:$B$50,MATCH($E257,Products!$A$2:$A$50,0)),"Unmapped"))</f>
        <v>Pantry</v>
      </c>
      <c r="I257" s="41" t="n">
        <f aca="false">IF($A257="","",IFERROR(INDEX(Products!$C$2:$C$50,MATCH($E257,Products!$A$2:$A$50,0)),0))</f>
        <v>5600</v>
      </c>
      <c r="J257" s="41" t="n">
        <f aca="false">IF($A257="","",IFERROR(INDEX(Products!$D$2:$D$50,MATCH($E257,Products!$A$2:$A$50,0)),0))</f>
        <v>4200</v>
      </c>
      <c r="K257" s="41" t="n">
        <f aca="false">IF($A257="","",$F257*$I257*(1-$G257))</f>
        <v>53200</v>
      </c>
      <c r="L257" s="41" t="n">
        <f aca="false">IF($A257="","",$F257*$J257)</f>
        <v>42000</v>
      </c>
      <c r="M257" s="41" t="n">
        <f aca="false">IF($A257="","",$K257-$L257)</f>
        <v>11200</v>
      </c>
    </row>
    <row r="258" customFormat="false" ht="15" hidden="false" customHeight="false" outlineLevel="0" collapsed="false">
      <c r="A258" s="37" t="s">
        <v>357</v>
      </c>
      <c r="B258" s="38" t="n">
        <v>45893</v>
      </c>
      <c r="C258" s="37" t="s">
        <v>88</v>
      </c>
      <c r="D258" s="37" t="s">
        <v>89</v>
      </c>
      <c r="E258" s="37" t="s">
        <v>94</v>
      </c>
      <c r="F258" s="39" t="n">
        <v>93</v>
      </c>
      <c r="G258" s="40" t="n">
        <v>0</v>
      </c>
      <c r="H258" s="8" t="str">
        <f aca="false">IF($A258="","",IFERROR(INDEX(Products!$B$2:$B$50,MATCH($E258,Products!$A$2:$A$50,0)),"Unmapped"))</f>
        <v>Stationery</v>
      </c>
      <c r="I258" s="41" t="n">
        <f aca="false">IF($A258="","",IFERROR(INDEX(Products!$C$2:$C$50,MATCH($E258,Products!$A$2:$A$50,0)),0))</f>
        <v>280</v>
      </c>
      <c r="J258" s="41" t="n">
        <f aca="false">IF($A258="","",IFERROR(INDEX(Products!$D$2:$D$50,MATCH($E258,Products!$A$2:$A$50,0)),0))</f>
        <v>210</v>
      </c>
      <c r="K258" s="41" t="n">
        <f aca="false">IF($A258="","",$F258*$I258*(1-$G258))</f>
        <v>26040</v>
      </c>
      <c r="L258" s="41" t="n">
        <f aca="false">IF($A258="","",$F258*$J258)</f>
        <v>19530</v>
      </c>
      <c r="M258" s="41" t="n">
        <f aca="false">IF($A258="","",$K258-$L258)</f>
        <v>6510</v>
      </c>
    </row>
    <row r="259" customFormat="false" ht="15" hidden="false" customHeight="false" outlineLevel="0" collapsed="false">
      <c r="A259" s="37" t="s">
        <v>358</v>
      </c>
      <c r="B259" s="38" t="n">
        <v>45893</v>
      </c>
      <c r="C259" s="37" t="s">
        <v>88</v>
      </c>
      <c r="D259" s="37" t="s">
        <v>89</v>
      </c>
      <c r="E259" s="37" t="s">
        <v>94</v>
      </c>
      <c r="F259" s="39" t="n">
        <v>194</v>
      </c>
      <c r="G259" s="40" t="n">
        <v>0</v>
      </c>
      <c r="H259" s="8" t="str">
        <f aca="false">IF($A259="","",IFERROR(INDEX(Products!$B$2:$B$50,MATCH($E259,Products!$A$2:$A$50,0)),"Unmapped"))</f>
        <v>Stationery</v>
      </c>
      <c r="I259" s="41" t="n">
        <f aca="false">IF($A259="","",IFERROR(INDEX(Products!$C$2:$C$50,MATCH($E259,Products!$A$2:$A$50,0)),0))</f>
        <v>280</v>
      </c>
      <c r="J259" s="41" t="n">
        <f aca="false">IF($A259="","",IFERROR(INDEX(Products!$D$2:$D$50,MATCH($E259,Products!$A$2:$A$50,0)),0))</f>
        <v>210</v>
      </c>
      <c r="K259" s="41" t="n">
        <f aca="false">IF($A259="","",$F259*$I259*(1-$G259))</f>
        <v>54320</v>
      </c>
      <c r="L259" s="41" t="n">
        <f aca="false">IF($A259="","",$F259*$J259)</f>
        <v>40740</v>
      </c>
      <c r="M259" s="41" t="n">
        <f aca="false">IF($A259="","",$K259-$L259)</f>
        <v>13580</v>
      </c>
    </row>
    <row r="260" customFormat="false" ht="15" hidden="false" customHeight="false" outlineLevel="0" collapsed="false">
      <c r="A260" s="37" t="s">
        <v>359</v>
      </c>
      <c r="B260" s="38" t="n">
        <v>45894</v>
      </c>
      <c r="C260" s="37" t="s">
        <v>78</v>
      </c>
      <c r="D260" s="37" t="s">
        <v>79</v>
      </c>
      <c r="E260" s="37" t="s">
        <v>134</v>
      </c>
      <c r="F260" s="39" t="n">
        <v>7</v>
      </c>
      <c r="G260" s="40" t="n">
        <v>0</v>
      </c>
      <c r="H260" s="8" t="str">
        <f aca="false">IF($A260="","",IFERROR(INDEX(Products!$B$2:$B$50,MATCH($E260,Products!$A$2:$A$50,0)),"Unmapped"))</f>
        <v>Furniture</v>
      </c>
      <c r="I260" s="41" t="n">
        <f aca="false">IF($A260="","",IFERROR(INDEX(Products!$C$2:$C$50,MATCH($E260,Products!$A$2:$A$50,0)),0))</f>
        <v>6100</v>
      </c>
      <c r="J260" s="41" t="n">
        <f aca="false">IF($A260="","",IFERROR(INDEX(Products!$D$2:$D$50,MATCH($E260,Products!$A$2:$A$50,0)),0))</f>
        <v>4500</v>
      </c>
      <c r="K260" s="41" t="n">
        <f aca="false">IF($A260="","",$F260*$I260*(1-$G260))</f>
        <v>42700</v>
      </c>
      <c r="L260" s="41" t="n">
        <f aca="false">IF($A260="","",$F260*$J260)</f>
        <v>31500</v>
      </c>
      <c r="M260" s="41" t="n">
        <f aca="false">IF($A260="","",$K260-$L260)</f>
        <v>11200</v>
      </c>
    </row>
    <row r="261" customFormat="false" ht="15" hidden="false" customHeight="false" outlineLevel="0" collapsed="false">
      <c r="A261" s="37" t="s">
        <v>360</v>
      </c>
      <c r="B261" s="38" t="n">
        <v>45895</v>
      </c>
      <c r="C261" s="37" t="s">
        <v>78</v>
      </c>
      <c r="D261" s="37" t="s">
        <v>86</v>
      </c>
      <c r="E261" s="37" t="s">
        <v>94</v>
      </c>
      <c r="F261" s="39" t="n">
        <v>111</v>
      </c>
      <c r="G261" s="40" t="n">
        <v>0.1</v>
      </c>
      <c r="H261" s="8" t="str">
        <f aca="false">IF($A261="","",IFERROR(INDEX(Products!$B$2:$B$50,MATCH($E261,Products!$A$2:$A$50,0)),"Unmapped"))</f>
        <v>Stationery</v>
      </c>
      <c r="I261" s="41" t="n">
        <f aca="false">IF($A261="","",IFERROR(INDEX(Products!$C$2:$C$50,MATCH($E261,Products!$A$2:$A$50,0)),0))</f>
        <v>280</v>
      </c>
      <c r="J261" s="41" t="n">
        <f aca="false">IF($A261="","",IFERROR(INDEX(Products!$D$2:$D$50,MATCH($E261,Products!$A$2:$A$50,0)),0))</f>
        <v>210</v>
      </c>
      <c r="K261" s="41" t="n">
        <f aca="false">IF($A261="","",$F261*$I261*(1-$G261))</f>
        <v>27972</v>
      </c>
      <c r="L261" s="41" t="n">
        <f aca="false">IF($A261="","",$F261*$J261)</f>
        <v>23310</v>
      </c>
      <c r="M261" s="41" t="n">
        <f aca="false">IF($A261="","",$K261-$L261)</f>
        <v>4662</v>
      </c>
    </row>
    <row r="262" customFormat="false" ht="15" hidden="false" customHeight="false" outlineLevel="0" collapsed="false">
      <c r="A262" s="37" t="s">
        <v>361</v>
      </c>
      <c r="B262" s="38" t="n">
        <v>45896</v>
      </c>
      <c r="C262" s="37" t="s">
        <v>82</v>
      </c>
      <c r="D262" s="37" t="s">
        <v>93</v>
      </c>
      <c r="E262" s="37" t="s">
        <v>94</v>
      </c>
      <c r="F262" s="39" t="n">
        <v>123</v>
      </c>
      <c r="G262" s="40" t="n">
        <v>0.05</v>
      </c>
      <c r="H262" s="8" t="str">
        <f aca="false">IF($A262="","",IFERROR(INDEX(Products!$B$2:$B$50,MATCH($E262,Products!$A$2:$A$50,0)),"Unmapped"))</f>
        <v>Stationery</v>
      </c>
      <c r="I262" s="41" t="n">
        <f aca="false">IF($A262="","",IFERROR(INDEX(Products!$C$2:$C$50,MATCH($E262,Products!$A$2:$A$50,0)),0))</f>
        <v>280</v>
      </c>
      <c r="J262" s="41" t="n">
        <f aca="false">IF($A262="","",IFERROR(INDEX(Products!$D$2:$D$50,MATCH($E262,Products!$A$2:$A$50,0)),0))</f>
        <v>210</v>
      </c>
      <c r="K262" s="41" t="n">
        <f aca="false">IF($A262="","",$F262*$I262*(1-$G262))</f>
        <v>32718</v>
      </c>
      <c r="L262" s="41" t="n">
        <f aca="false">IF($A262="","",$F262*$J262)</f>
        <v>25830</v>
      </c>
      <c r="M262" s="41" t="n">
        <f aca="false">IF($A262="","",$K262-$L262)</f>
        <v>6888</v>
      </c>
    </row>
    <row r="263" customFormat="false" ht="15" hidden="false" customHeight="false" outlineLevel="0" collapsed="false">
      <c r="A263" s="37" t="s">
        <v>362</v>
      </c>
      <c r="B263" s="38" t="n">
        <v>45898</v>
      </c>
      <c r="C263" s="37" t="s">
        <v>78</v>
      </c>
      <c r="D263" s="37" t="s">
        <v>86</v>
      </c>
      <c r="E263" s="37" t="s">
        <v>121</v>
      </c>
      <c r="F263" s="39" t="n">
        <v>24</v>
      </c>
      <c r="G263" s="40" t="n">
        <v>0.05</v>
      </c>
      <c r="H263" s="8" t="str">
        <f aca="false">IF($A263="","",IFERROR(INDEX(Products!$B$2:$B$50,MATCH($E263,Products!$A$2:$A$50,0)),"Unmapped"))</f>
        <v>Electronics</v>
      </c>
      <c r="I263" s="41" t="n">
        <f aca="false">IF($A263="","",IFERROR(INDEX(Products!$C$2:$C$50,MATCH($E263,Products!$A$2:$A$50,0)),0))</f>
        <v>650</v>
      </c>
      <c r="J263" s="41" t="n">
        <f aca="false">IF($A263="","",IFERROR(INDEX(Products!$D$2:$D$50,MATCH($E263,Products!$A$2:$A$50,0)),0))</f>
        <v>430</v>
      </c>
      <c r="K263" s="41" t="n">
        <f aca="false">IF($A263="","",$F263*$I263*(1-$G263))</f>
        <v>14820</v>
      </c>
      <c r="L263" s="41" t="n">
        <f aca="false">IF($A263="","",$F263*$J263)</f>
        <v>10320</v>
      </c>
      <c r="M263" s="41" t="n">
        <f aca="false">IF($A263="","",$K263-$L263)</f>
        <v>4500</v>
      </c>
    </row>
    <row r="264" customFormat="false" ht="15" hidden="false" customHeight="false" outlineLevel="0" collapsed="false">
      <c r="A264" s="37" t="s">
        <v>363</v>
      </c>
      <c r="B264" s="38" t="n">
        <v>45899</v>
      </c>
      <c r="C264" s="37" t="s">
        <v>82</v>
      </c>
      <c r="D264" s="37" t="s">
        <v>83</v>
      </c>
      <c r="E264" s="37" t="s">
        <v>94</v>
      </c>
      <c r="F264" s="39" t="n">
        <v>129</v>
      </c>
      <c r="G264" s="40" t="n">
        <v>0</v>
      </c>
      <c r="H264" s="8" t="str">
        <f aca="false">IF($A264="","",IFERROR(INDEX(Products!$B$2:$B$50,MATCH($E264,Products!$A$2:$A$50,0)),"Unmapped"))</f>
        <v>Stationery</v>
      </c>
      <c r="I264" s="41" t="n">
        <f aca="false">IF($A264="","",IFERROR(INDEX(Products!$C$2:$C$50,MATCH($E264,Products!$A$2:$A$50,0)),0))</f>
        <v>280</v>
      </c>
      <c r="J264" s="41" t="n">
        <f aca="false">IF($A264="","",IFERROR(INDEX(Products!$D$2:$D$50,MATCH($E264,Products!$A$2:$A$50,0)),0))</f>
        <v>210</v>
      </c>
      <c r="K264" s="41" t="n">
        <f aca="false">IF($A264="","",$F264*$I264*(1-$G264))</f>
        <v>36120</v>
      </c>
      <c r="L264" s="41" t="n">
        <f aca="false">IF($A264="","",$F264*$J264)</f>
        <v>27090</v>
      </c>
      <c r="M264" s="41" t="n">
        <f aca="false">IF($A264="","",$K264-$L264)</f>
        <v>9030</v>
      </c>
    </row>
    <row r="265" customFormat="false" ht="15" hidden="false" customHeight="false" outlineLevel="0" collapsed="false">
      <c r="A265" s="37" t="s">
        <v>364</v>
      </c>
      <c r="B265" s="38" t="n">
        <v>45899</v>
      </c>
      <c r="C265" s="37" t="s">
        <v>78</v>
      </c>
      <c r="D265" s="37" t="s">
        <v>86</v>
      </c>
      <c r="E265" s="37" t="s">
        <v>90</v>
      </c>
      <c r="F265" s="39" t="n">
        <v>143</v>
      </c>
      <c r="G265" s="40" t="n">
        <v>0.15</v>
      </c>
      <c r="H265" s="8" t="str">
        <f aca="false">IF($A265="","",IFERROR(INDEX(Products!$B$2:$B$50,MATCH($E265,Products!$A$2:$A$50,0)),"Unmapped"))</f>
        <v>Stationery</v>
      </c>
      <c r="I265" s="41" t="n">
        <f aca="false">IF($A265="","",IFERROR(INDEX(Products!$C$2:$C$50,MATCH($E265,Products!$A$2:$A$50,0)),0))</f>
        <v>120</v>
      </c>
      <c r="J265" s="41" t="n">
        <f aca="false">IF($A265="","",IFERROR(INDEX(Products!$D$2:$D$50,MATCH($E265,Products!$A$2:$A$50,0)),0))</f>
        <v>80</v>
      </c>
      <c r="K265" s="41" t="n">
        <f aca="false">IF($A265="","",$F265*$I265*(1-$G265))</f>
        <v>14586</v>
      </c>
      <c r="L265" s="41" t="n">
        <f aca="false">IF($A265="","",$F265*$J265)</f>
        <v>11440</v>
      </c>
      <c r="M265" s="41" t="n">
        <f aca="false">IF($A265="","",$K265-$L265)</f>
        <v>3146</v>
      </c>
    </row>
    <row r="266" customFormat="false" ht="15" hidden="false" customHeight="false" outlineLevel="0" collapsed="false">
      <c r="A266" s="37" t="s">
        <v>365</v>
      </c>
      <c r="B266" s="38" t="n">
        <v>45900</v>
      </c>
      <c r="C266" s="37" t="s">
        <v>82</v>
      </c>
      <c r="D266" s="37" t="s">
        <v>93</v>
      </c>
      <c r="E266" s="37" t="s">
        <v>121</v>
      </c>
      <c r="F266" s="39" t="n">
        <v>7</v>
      </c>
      <c r="G266" s="40" t="n">
        <v>0.05</v>
      </c>
      <c r="H266" s="8" t="str">
        <f aca="false">IF($A266="","",IFERROR(INDEX(Products!$B$2:$B$50,MATCH($E266,Products!$A$2:$A$50,0)),"Unmapped"))</f>
        <v>Electronics</v>
      </c>
      <c r="I266" s="41" t="n">
        <f aca="false">IF($A266="","",IFERROR(INDEX(Products!$C$2:$C$50,MATCH($E266,Products!$A$2:$A$50,0)),0))</f>
        <v>650</v>
      </c>
      <c r="J266" s="41" t="n">
        <f aca="false">IF($A266="","",IFERROR(INDEX(Products!$D$2:$D$50,MATCH($E266,Products!$A$2:$A$50,0)),0))</f>
        <v>430</v>
      </c>
      <c r="K266" s="41" t="n">
        <f aca="false">IF($A266="","",$F266*$I266*(1-$G266))</f>
        <v>4322.5</v>
      </c>
      <c r="L266" s="41" t="n">
        <f aca="false">IF($A266="","",$F266*$J266)</f>
        <v>3010</v>
      </c>
      <c r="M266" s="41" t="n">
        <f aca="false">IF($A266="","",$K266-$L266)</f>
        <v>1312.5</v>
      </c>
    </row>
    <row r="267" customFormat="false" ht="15" hidden="false" customHeight="false" outlineLevel="0" collapsed="false">
      <c r="A267" s="37" t="s">
        <v>366</v>
      </c>
      <c r="B267" s="38" t="n">
        <v>45900</v>
      </c>
      <c r="C267" s="37" t="s">
        <v>88</v>
      </c>
      <c r="D267" s="37" t="s">
        <v>89</v>
      </c>
      <c r="E267" s="37" t="s">
        <v>84</v>
      </c>
      <c r="F267" s="39" t="n">
        <v>87</v>
      </c>
      <c r="G267" s="40" t="n">
        <v>0.1</v>
      </c>
      <c r="H267" s="8" t="str">
        <f aca="false">IF($A267="","",IFERROR(INDEX(Products!$B$2:$B$50,MATCH($E267,Products!$A$2:$A$50,0)),"Unmapped"))</f>
        <v>Stationery</v>
      </c>
      <c r="I267" s="41" t="n">
        <f aca="false">IF($A267="","",IFERROR(INDEX(Products!$C$2:$C$50,MATCH($E267,Products!$A$2:$A$50,0)),0))</f>
        <v>350</v>
      </c>
      <c r="J267" s="41" t="n">
        <f aca="false">IF($A267="","",IFERROR(INDEX(Products!$D$2:$D$50,MATCH($E267,Products!$A$2:$A$50,0)),0))</f>
        <v>240</v>
      </c>
      <c r="K267" s="41" t="n">
        <f aca="false">IF($A267="","",$F267*$I267*(1-$G267))</f>
        <v>27405</v>
      </c>
      <c r="L267" s="41" t="n">
        <f aca="false">IF($A267="","",$F267*$J267)</f>
        <v>20880</v>
      </c>
      <c r="M267" s="41" t="n">
        <f aca="false">IF($A267="","",$K267-$L267)</f>
        <v>6525</v>
      </c>
    </row>
    <row r="268" customFormat="false" ht="15" hidden="false" customHeight="false" outlineLevel="0" collapsed="false">
      <c r="A268" s="37" t="s">
        <v>367</v>
      </c>
      <c r="B268" s="38" t="n">
        <v>45901</v>
      </c>
      <c r="C268" s="37" t="s">
        <v>88</v>
      </c>
      <c r="D268" s="37" t="s">
        <v>111</v>
      </c>
      <c r="E268" s="37" t="s">
        <v>90</v>
      </c>
      <c r="F268" s="39" t="n">
        <v>46</v>
      </c>
      <c r="G268" s="40" t="n">
        <v>0.05</v>
      </c>
      <c r="H268" s="8" t="str">
        <f aca="false">IF($A268="","",IFERROR(INDEX(Products!$B$2:$B$50,MATCH($E268,Products!$A$2:$A$50,0)),"Unmapped"))</f>
        <v>Stationery</v>
      </c>
      <c r="I268" s="41" t="n">
        <f aca="false">IF($A268="","",IFERROR(INDEX(Products!$C$2:$C$50,MATCH($E268,Products!$A$2:$A$50,0)),0))</f>
        <v>120</v>
      </c>
      <c r="J268" s="41" t="n">
        <f aca="false">IF($A268="","",IFERROR(INDEX(Products!$D$2:$D$50,MATCH($E268,Products!$A$2:$A$50,0)),0))</f>
        <v>80</v>
      </c>
      <c r="K268" s="41" t="n">
        <f aca="false">IF($A268="","",$F268*$I268*(1-$G268))</f>
        <v>5244</v>
      </c>
      <c r="L268" s="41" t="n">
        <f aca="false">IF($A268="","",$F268*$J268)</f>
        <v>3680</v>
      </c>
      <c r="M268" s="41" t="n">
        <f aca="false">IF($A268="","",$K268-$L268)</f>
        <v>1564</v>
      </c>
    </row>
    <row r="269" customFormat="false" ht="15" hidden="false" customHeight="false" outlineLevel="0" collapsed="false">
      <c r="A269" s="37" t="s">
        <v>368</v>
      </c>
      <c r="B269" s="38" t="n">
        <v>45901</v>
      </c>
      <c r="C269" s="37" t="s">
        <v>105</v>
      </c>
      <c r="D269" s="37" t="s">
        <v>116</v>
      </c>
      <c r="E269" s="37" t="s">
        <v>134</v>
      </c>
      <c r="F269" s="39" t="n">
        <v>13</v>
      </c>
      <c r="G269" s="40" t="n">
        <v>0.1</v>
      </c>
      <c r="H269" s="8" t="str">
        <f aca="false">IF($A269="","",IFERROR(INDEX(Products!$B$2:$B$50,MATCH($E269,Products!$A$2:$A$50,0)),"Unmapped"))</f>
        <v>Furniture</v>
      </c>
      <c r="I269" s="41" t="n">
        <f aca="false">IF($A269="","",IFERROR(INDEX(Products!$C$2:$C$50,MATCH($E269,Products!$A$2:$A$50,0)),0))</f>
        <v>6100</v>
      </c>
      <c r="J269" s="41" t="n">
        <f aca="false">IF($A269="","",IFERROR(INDEX(Products!$D$2:$D$50,MATCH($E269,Products!$A$2:$A$50,0)),0))</f>
        <v>4500</v>
      </c>
      <c r="K269" s="41" t="n">
        <f aca="false">IF($A269="","",$F269*$I269*(1-$G269))</f>
        <v>71370</v>
      </c>
      <c r="L269" s="41" t="n">
        <f aca="false">IF($A269="","",$F269*$J269)</f>
        <v>58500</v>
      </c>
      <c r="M269" s="41" t="n">
        <f aca="false">IF($A269="","",$K269-$L269)</f>
        <v>12870</v>
      </c>
    </row>
    <row r="270" customFormat="false" ht="15" hidden="false" customHeight="false" outlineLevel="0" collapsed="false">
      <c r="A270" s="37" t="s">
        <v>369</v>
      </c>
      <c r="B270" s="38" t="n">
        <v>45901</v>
      </c>
      <c r="C270" s="37" t="s">
        <v>78</v>
      </c>
      <c r="D270" s="37" t="s">
        <v>79</v>
      </c>
      <c r="E270" s="37" t="s">
        <v>90</v>
      </c>
      <c r="F270" s="39" t="n">
        <v>52</v>
      </c>
      <c r="G270" s="40" t="n">
        <v>0.1</v>
      </c>
      <c r="H270" s="8" t="str">
        <f aca="false">IF($A270="","",IFERROR(INDEX(Products!$B$2:$B$50,MATCH($E270,Products!$A$2:$A$50,0)),"Unmapped"))</f>
        <v>Stationery</v>
      </c>
      <c r="I270" s="41" t="n">
        <f aca="false">IF($A270="","",IFERROR(INDEX(Products!$C$2:$C$50,MATCH($E270,Products!$A$2:$A$50,0)),0))</f>
        <v>120</v>
      </c>
      <c r="J270" s="41" t="n">
        <f aca="false">IF($A270="","",IFERROR(INDEX(Products!$D$2:$D$50,MATCH($E270,Products!$A$2:$A$50,0)),0))</f>
        <v>80</v>
      </c>
      <c r="K270" s="41" t="n">
        <f aca="false">IF($A270="","",$F270*$I270*(1-$G270))</f>
        <v>5616</v>
      </c>
      <c r="L270" s="41" t="n">
        <f aca="false">IF($A270="","",$F270*$J270)</f>
        <v>4160</v>
      </c>
      <c r="M270" s="41" t="n">
        <f aca="false">IF($A270="","",$K270-$L270)</f>
        <v>1456</v>
      </c>
    </row>
    <row r="271" customFormat="false" ht="15" hidden="false" customHeight="false" outlineLevel="0" collapsed="false">
      <c r="A271" s="37" t="s">
        <v>370</v>
      </c>
      <c r="B271" s="38" t="n">
        <v>45901</v>
      </c>
      <c r="C271" s="37" t="s">
        <v>78</v>
      </c>
      <c r="D271" s="37" t="s">
        <v>86</v>
      </c>
      <c r="E271" s="37" t="s">
        <v>114</v>
      </c>
      <c r="F271" s="39" t="n">
        <v>30</v>
      </c>
      <c r="G271" s="40" t="n">
        <v>0.05</v>
      </c>
      <c r="H271" s="8" t="str">
        <f aca="false">IF($A271="","",IFERROR(INDEX(Products!$B$2:$B$50,MATCH($E271,Products!$A$2:$A$50,0)),"Unmapped"))</f>
        <v>Pantry</v>
      </c>
      <c r="I271" s="41" t="n">
        <f aca="false">IF($A271="","",IFERROR(INDEX(Products!$C$2:$C$50,MATCH($E271,Products!$A$2:$A$50,0)),0))</f>
        <v>1500</v>
      </c>
      <c r="J271" s="41" t="n">
        <f aca="false">IF($A271="","",IFERROR(INDEX(Products!$D$2:$D$50,MATCH($E271,Products!$A$2:$A$50,0)),0))</f>
        <v>1100</v>
      </c>
      <c r="K271" s="41" t="n">
        <f aca="false">IF($A271="","",$F271*$I271*(1-$G271))</f>
        <v>42750</v>
      </c>
      <c r="L271" s="41" t="n">
        <f aca="false">IF($A271="","",$F271*$J271)</f>
        <v>33000</v>
      </c>
      <c r="M271" s="41" t="n">
        <f aca="false">IF($A271="","",$K271-$L271)</f>
        <v>9750</v>
      </c>
    </row>
    <row r="272" customFormat="false" ht="15" hidden="false" customHeight="false" outlineLevel="0" collapsed="false">
      <c r="A272" s="37" t="s">
        <v>371</v>
      </c>
      <c r="B272" s="38" t="n">
        <v>45902</v>
      </c>
      <c r="C272" s="37" t="s">
        <v>82</v>
      </c>
      <c r="D272" s="37" t="s">
        <v>93</v>
      </c>
      <c r="E272" s="37" t="s">
        <v>121</v>
      </c>
      <c r="F272" s="39" t="n">
        <v>26</v>
      </c>
      <c r="G272" s="40" t="n">
        <v>0</v>
      </c>
      <c r="H272" s="8" t="str">
        <f aca="false">IF($A272="","",IFERROR(INDEX(Products!$B$2:$B$50,MATCH($E272,Products!$A$2:$A$50,0)),"Unmapped"))</f>
        <v>Electronics</v>
      </c>
      <c r="I272" s="41" t="n">
        <f aca="false">IF($A272="","",IFERROR(INDEX(Products!$C$2:$C$50,MATCH($E272,Products!$A$2:$A$50,0)),0))</f>
        <v>650</v>
      </c>
      <c r="J272" s="41" t="n">
        <f aca="false">IF($A272="","",IFERROR(INDEX(Products!$D$2:$D$50,MATCH($E272,Products!$A$2:$A$50,0)),0))</f>
        <v>430</v>
      </c>
      <c r="K272" s="41" t="n">
        <f aca="false">IF($A272="","",$F272*$I272*(1-$G272))</f>
        <v>16900</v>
      </c>
      <c r="L272" s="41" t="n">
        <f aca="false">IF($A272="","",$F272*$J272)</f>
        <v>11180</v>
      </c>
      <c r="M272" s="41" t="n">
        <f aca="false">IF($A272="","",$K272-$L272)</f>
        <v>5720</v>
      </c>
    </row>
    <row r="273" customFormat="false" ht="15" hidden="false" customHeight="false" outlineLevel="0" collapsed="false">
      <c r="A273" s="37" t="s">
        <v>372</v>
      </c>
      <c r="B273" s="38" t="n">
        <v>45903</v>
      </c>
      <c r="C273" s="37" t="s">
        <v>78</v>
      </c>
      <c r="D273" s="37" t="s">
        <v>79</v>
      </c>
      <c r="E273" s="37" t="s">
        <v>90</v>
      </c>
      <c r="F273" s="39" t="n">
        <v>188</v>
      </c>
      <c r="G273" s="40" t="n">
        <v>0.15</v>
      </c>
      <c r="H273" s="8" t="str">
        <f aca="false">IF($A273="","",IFERROR(INDEX(Products!$B$2:$B$50,MATCH($E273,Products!$A$2:$A$50,0)),"Unmapped"))</f>
        <v>Stationery</v>
      </c>
      <c r="I273" s="41" t="n">
        <f aca="false">IF($A273="","",IFERROR(INDEX(Products!$C$2:$C$50,MATCH($E273,Products!$A$2:$A$50,0)),0))</f>
        <v>120</v>
      </c>
      <c r="J273" s="41" t="n">
        <f aca="false">IF($A273="","",IFERROR(INDEX(Products!$D$2:$D$50,MATCH($E273,Products!$A$2:$A$50,0)),0))</f>
        <v>80</v>
      </c>
      <c r="K273" s="41" t="n">
        <f aca="false">IF($A273="","",$F273*$I273*(1-$G273))</f>
        <v>19176</v>
      </c>
      <c r="L273" s="41" t="n">
        <f aca="false">IF($A273="","",$F273*$J273)</f>
        <v>15040</v>
      </c>
      <c r="M273" s="41" t="n">
        <f aca="false">IF($A273="","",$K273-$L273)</f>
        <v>4136</v>
      </c>
    </row>
    <row r="274" customFormat="false" ht="15" hidden="false" customHeight="false" outlineLevel="0" collapsed="false">
      <c r="A274" s="37" t="s">
        <v>373</v>
      </c>
      <c r="B274" s="38" t="n">
        <v>45903</v>
      </c>
      <c r="C274" s="37" t="s">
        <v>82</v>
      </c>
      <c r="D274" s="37" t="s">
        <v>83</v>
      </c>
      <c r="E274" s="37" t="s">
        <v>80</v>
      </c>
      <c r="F274" s="39" t="n">
        <v>25</v>
      </c>
      <c r="G274" s="40" t="n">
        <v>0</v>
      </c>
      <c r="H274" s="8" t="str">
        <f aca="false">IF($A274="","",IFERROR(INDEX(Products!$B$2:$B$50,MATCH($E274,Products!$A$2:$A$50,0)),"Unmapped"))</f>
        <v>Pantry</v>
      </c>
      <c r="I274" s="41" t="n">
        <f aca="false">IF($A274="","",IFERROR(INDEX(Products!$C$2:$C$50,MATCH($E274,Products!$A$2:$A$50,0)),0))</f>
        <v>5600</v>
      </c>
      <c r="J274" s="41" t="n">
        <f aca="false">IF($A274="","",IFERROR(INDEX(Products!$D$2:$D$50,MATCH($E274,Products!$A$2:$A$50,0)),0))</f>
        <v>4200</v>
      </c>
      <c r="K274" s="41" t="n">
        <f aca="false">IF($A274="","",$F274*$I274*(1-$G274))</f>
        <v>140000</v>
      </c>
      <c r="L274" s="41" t="n">
        <f aca="false">IF($A274="","",$F274*$J274)</f>
        <v>105000</v>
      </c>
      <c r="M274" s="41" t="n">
        <f aca="false">IF($A274="","",$K274-$L274)</f>
        <v>35000</v>
      </c>
    </row>
    <row r="275" customFormat="false" ht="15" hidden="false" customHeight="false" outlineLevel="0" collapsed="false">
      <c r="A275" s="37" t="s">
        <v>374</v>
      </c>
      <c r="B275" s="38" t="n">
        <v>45905</v>
      </c>
      <c r="C275" s="37" t="s">
        <v>78</v>
      </c>
      <c r="D275" s="37" t="s">
        <v>86</v>
      </c>
      <c r="E275" s="37" t="s">
        <v>103</v>
      </c>
      <c r="F275" s="39" t="n">
        <v>19</v>
      </c>
      <c r="G275" s="40" t="n">
        <v>0</v>
      </c>
      <c r="H275" s="8" t="str">
        <f aca="false">IF($A275="","",IFERROR(INDEX(Products!$B$2:$B$50,MATCH($E275,Products!$A$2:$A$50,0)),"Unmapped"))</f>
        <v>Electronics</v>
      </c>
      <c r="I275" s="41" t="n">
        <f aca="false">IF($A275="","",IFERROR(INDEX(Products!$C$2:$C$50,MATCH($E275,Products!$A$2:$A$50,0)),0))</f>
        <v>900</v>
      </c>
      <c r="J275" s="41" t="n">
        <f aca="false">IF($A275="","",IFERROR(INDEX(Products!$D$2:$D$50,MATCH($E275,Products!$A$2:$A$50,0)),0))</f>
        <v>620</v>
      </c>
      <c r="K275" s="41" t="n">
        <f aca="false">IF($A275="","",$F275*$I275*(1-$G275))</f>
        <v>17100</v>
      </c>
      <c r="L275" s="41" t="n">
        <f aca="false">IF($A275="","",$F275*$J275)</f>
        <v>11780</v>
      </c>
      <c r="M275" s="41" t="n">
        <f aca="false">IF($A275="","",$K275-$L275)</f>
        <v>5320</v>
      </c>
    </row>
    <row r="276" customFormat="false" ht="15" hidden="false" customHeight="false" outlineLevel="0" collapsed="false">
      <c r="A276" s="37" t="s">
        <v>375</v>
      </c>
      <c r="B276" s="38" t="n">
        <v>45905</v>
      </c>
      <c r="C276" s="37" t="s">
        <v>82</v>
      </c>
      <c r="D276" s="37" t="s">
        <v>83</v>
      </c>
      <c r="E276" s="37" t="s">
        <v>94</v>
      </c>
      <c r="F276" s="39" t="n">
        <v>171</v>
      </c>
      <c r="G276" s="40" t="n">
        <v>0</v>
      </c>
      <c r="H276" s="8" t="str">
        <f aca="false">IF($A276="","",IFERROR(INDEX(Products!$B$2:$B$50,MATCH($E276,Products!$A$2:$A$50,0)),"Unmapped"))</f>
        <v>Stationery</v>
      </c>
      <c r="I276" s="41" t="n">
        <f aca="false">IF($A276="","",IFERROR(INDEX(Products!$C$2:$C$50,MATCH($E276,Products!$A$2:$A$50,0)),0))</f>
        <v>280</v>
      </c>
      <c r="J276" s="41" t="n">
        <f aca="false">IF($A276="","",IFERROR(INDEX(Products!$D$2:$D$50,MATCH($E276,Products!$A$2:$A$50,0)),0))</f>
        <v>210</v>
      </c>
      <c r="K276" s="41" t="n">
        <f aca="false">IF($A276="","",$F276*$I276*(1-$G276))</f>
        <v>47880</v>
      </c>
      <c r="L276" s="41" t="n">
        <f aca="false">IF($A276="","",$F276*$J276)</f>
        <v>35910</v>
      </c>
      <c r="M276" s="41" t="n">
        <f aca="false">IF($A276="","",$K276-$L276)</f>
        <v>11970</v>
      </c>
    </row>
    <row r="277" customFormat="false" ht="15" hidden="false" customHeight="false" outlineLevel="0" collapsed="false">
      <c r="A277" s="37" t="s">
        <v>376</v>
      </c>
      <c r="B277" s="38" t="n">
        <v>45905</v>
      </c>
      <c r="C277" s="37" t="s">
        <v>78</v>
      </c>
      <c r="D277" s="37" t="s">
        <v>79</v>
      </c>
      <c r="E277" s="37" t="s">
        <v>84</v>
      </c>
      <c r="F277" s="39" t="n">
        <v>197</v>
      </c>
      <c r="G277" s="40" t="n">
        <v>0</v>
      </c>
      <c r="H277" s="8" t="str">
        <f aca="false">IF($A277="","",IFERROR(INDEX(Products!$B$2:$B$50,MATCH($E277,Products!$A$2:$A$50,0)),"Unmapped"))</f>
        <v>Stationery</v>
      </c>
      <c r="I277" s="41" t="n">
        <f aca="false">IF($A277="","",IFERROR(INDEX(Products!$C$2:$C$50,MATCH($E277,Products!$A$2:$A$50,0)),0))</f>
        <v>350</v>
      </c>
      <c r="J277" s="41" t="n">
        <f aca="false">IF($A277="","",IFERROR(INDEX(Products!$D$2:$D$50,MATCH($E277,Products!$A$2:$A$50,0)),0))</f>
        <v>240</v>
      </c>
      <c r="K277" s="41" t="n">
        <f aca="false">IF($A277="","",$F277*$I277*(1-$G277))</f>
        <v>68950</v>
      </c>
      <c r="L277" s="41" t="n">
        <f aca="false">IF($A277="","",$F277*$J277)</f>
        <v>47280</v>
      </c>
      <c r="M277" s="41" t="n">
        <f aca="false">IF($A277="","",$K277-$L277)</f>
        <v>21670</v>
      </c>
    </row>
    <row r="278" customFormat="false" ht="15" hidden="false" customHeight="false" outlineLevel="0" collapsed="false">
      <c r="A278" s="37" t="s">
        <v>377</v>
      </c>
      <c r="B278" s="38" t="n">
        <v>45905</v>
      </c>
      <c r="C278" s="37" t="s">
        <v>78</v>
      </c>
      <c r="D278" s="37" t="s">
        <v>86</v>
      </c>
      <c r="E278" s="37" t="s">
        <v>114</v>
      </c>
      <c r="F278" s="39" t="n">
        <v>24</v>
      </c>
      <c r="G278" s="40" t="n">
        <v>0.15</v>
      </c>
      <c r="H278" s="8" t="str">
        <f aca="false">IF($A278="","",IFERROR(INDEX(Products!$B$2:$B$50,MATCH($E278,Products!$A$2:$A$50,0)),"Unmapped"))</f>
        <v>Pantry</v>
      </c>
      <c r="I278" s="41" t="n">
        <f aca="false">IF($A278="","",IFERROR(INDEX(Products!$C$2:$C$50,MATCH($E278,Products!$A$2:$A$50,0)),0))</f>
        <v>1500</v>
      </c>
      <c r="J278" s="41" t="n">
        <f aca="false">IF($A278="","",IFERROR(INDEX(Products!$D$2:$D$50,MATCH($E278,Products!$A$2:$A$50,0)),0))</f>
        <v>1100</v>
      </c>
      <c r="K278" s="41" t="n">
        <f aca="false">IF($A278="","",$F278*$I278*(1-$G278))</f>
        <v>30600</v>
      </c>
      <c r="L278" s="41" t="n">
        <f aca="false">IF($A278="","",$F278*$J278)</f>
        <v>26400</v>
      </c>
      <c r="M278" s="41" t="n">
        <f aca="false">IF($A278="","",$K278-$L278)</f>
        <v>4200</v>
      </c>
    </row>
    <row r="279" customFormat="false" ht="15" hidden="false" customHeight="false" outlineLevel="0" collapsed="false">
      <c r="A279" s="37" t="s">
        <v>378</v>
      </c>
      <c r="B279" s="38" t="n">
        <v>45908</v>
      </c>
      <c r="C279" s="37" t="s">
        <v>78</v>
      </c>
      <c r="D279" s="37" t="s">
        <v>86</v>
      </c>
      <c r="E279" s="37" t="s">
        <v>157</v>
      </c>
      <c r="F279" s="39" t="n">
        <v>4</v>
      </c>
      <c r="G279" s="40" t="n">
        <v>0.05</v>
      </c>
      <c r="H279" s="8" t="str">
        <f aca="false">IF($A279="","",IFERROR(INDEX(Products!$B$2:$B$50,MATCH($E279,Products!$A$2:$A$50,0)),"Unmapped"))</f>
        <v>Electronics</v>
      </c>
      <c r="I279" s="41" t="n">
        <f aca="false">IF($A279="","",IFERROR(INDEX(Products!$C$2:$C$50,MATCH($E279,Products!$A$2:$A$50,0)),0))</f>
        <v>8900</v>
      </c>
      <c r="J279" s="41" t="n">
        <f aca="false">IF($A279="","",IFERROR(INDEX(Products!$D$2:$D$50,MATCH($E279,Products!$A$2:$A$50,0)),0))</f>
        <v>7000</v>
      </c>
      <c r="K279" s="41" t="n">
        <f aca="false">IF($A279="","",$F279*$I279*(1-$G279))</f>
        <v>33820</v>
      </c>
      <c r="L279" s="41" t="n">
        <f aca="false">IF($A279="","",$F279*$J279)</f>
        <v>28000</v>
      </c>
      <c r="M279" s="41" t="n">
        <f aca="false">IF($A279="","",$K279-$L279)</f>
        <v>5820</v>
      </c>
    </row>
    <row r="280" customFormat="false" ht="15" hidden="false" customHeight="false" outlineLevel="0" collapsed="false">
      <c r="A280" s="37" t="s">
        <v>379</v>
      </c>
      <c r="B280" s="38" t="n">
        <v>45908</v>
      </c>
      <c r="C280" s="37" t="s">
        <v>82</v>
      </c>
      <c r="D280" s="37" t="s">
        <v>93</v>
      </c>
      <c r="E280" s="37" t="s">
        <v>96</v>
      </c>
      <c r="F280" s="39" t="n">
        <v>1</v>
      </c>
      <c r="G280" s="40" t="n">
        <v>0</v>
      </c>
      <c r="H280" s="8" t="str">
        <f aca="false">IF($A280="","",IFERROR(INDEX(Products!$B$2:$B$50,MATCH($E280,Products!$A$2:$A$50,0)),"Unmapped"))</f>
        <v>Furniture</v>
      </c>
      <c r="I280" s="41" t="n">
        <f aca="false">IF($A280="","",IFERROR(INDEX(Products!$C$2:$C$50,MATCH($E280,Products!$A$2:$A$50,0)),0))</f>
        <v>4800</v>
      </c>
      <c r="J280" s="41" t="n">
        <f aca="false">IF($A280="","",IFERROR(INDEX(Products!$D$2:$D$50,MATCH($E280,Products!$A$2:$A$50,0)),0))</f>
        <v>3500</v>
      </c>
      <c r="K280" s="41" t="n">
        <f aca="false">IF($A280="","",$F280*$I280*(1-$G280))</f>
        <v>4800</v>
      </c>
      <c r="L280" s="41" t="n">
        <f aca="false">IF($A280="","",$F280*$J280)</f>
        <v>3500</v>
      </c>
      <c r="M280" s="41" t="n">
        <f aca="false">IF($A280="","",$K280-$L280)</f>
        <v>1300</v>
      </c>
    </row>
    <row r="281" customFormat="false" ht="15" hidden="false" customHeight="false" outlineLevel="0" collapsed="false">
      <c r="A281" s="37" t="s">
        <v>380</v>
      </c>
      <c r="B281" s="38" t="n">
        <v>45909</v>
      </c>
      <c r="C281" s="37" t="s">
        <v>78</v>
      </c>
      <c r="D281" s="37" t="s">
        <v>79</v>
      </c>
      <c r="E281" s="37" t="s">
        <v>90</v>
      </c>
      <c r="F281" s="39" t="n">
        <v>133</v>
      </c>
      <c r="G281" s="40" t="n">
        <v>0.15</v>
      </c>
      <c r="H281" s="8" t="str">
        <f aca="false">IF($A281="","",IFERROR(INDEX(Products!$B$2:$B$50,MATCH($E281,Products!$A$2:$A$50,0)),"Unmapped"))</f>
        <v>Stationery</v>
      </c>
      <c r="I281" s="41" t="n">
        <f aca="false">IF($A281="","",IFERROR(INDEX(Products!$C$2:$C$50,MATCH($E281,Products!$A$2:$A$50,0)),0))</f>
        <v>120</v>
      </c>
      <c r="J281" s="41" t="n">
        <f aca="false">IF($A281="","",IFERROR(INDEX(Products!$D$2:$D$50,MATCH($E281,Products!$A$2:$A$50,0)),0))</f>
        <v>80</v>
      </c>
      <c r="K281" s="41" t="n">
        <f aca="false">IF($A281="","",$F281*$I281*(1-$G281))</f>
        <v>13566</v>
      </c>
      <c r="L281" s="41" t="n">
        <f aca="false">IF($A281="","",$F281*$J281)</f>
        <v>10640</v>
      </c>
      <c r="M281" s="41" t="n">
        <f aca="false">IF($A281="","",$K281-$L281)</f>
        <v>2926</v>
      </c>
    </row>
    <row r="282" customFormat="false" ht="15" hidden="false" customHeight="false" outlineLevel="0" collapsed="false">
      <c r="A282" s="37" t="s">
        <v>381</v>
      </c>
      <c r="B282" s="38" t="n">
        <v>45910</v>
      </c>
      <c r="C282" s="37" t="s">
        <v>82</v>
      </c>
      <c r="D282" s="37" t="s">
        <v>93</v>
      </c>
      <c r="E282" s="37" t="s">
        <v>94</v>
      </c>
      <c r="F282" s="39" t="n">
        <v>80</v>
      </c>
      <c r="G282" s="40" t="n">
        <v>0.05</v>
      </c>
      <c r="H282" s="8" t="str">
        <f aca="false">IF($A282="","",IFERROR(INDEX(Products!$B$2:$B$50,MATCH($E282,Products!$A$2:$A$50,0)),"Unmapped"))</f>
        <v>Stationery</v>
      </c>
      <c r="I282" s="41" t="n">
        <f aca="false">IF($A282="","",IFERROR(INDEX(Products!$C$2:$C$50,MATCH($E282,Products!$A$2:$A$50,0)),0))</f>
        <v>280</v>
      </c>
      <c r="J282" s="41" t="n">
        <f aca="false">IF($A282="","",IFERROR(INDEX(Products!$D$2:$D$50,MATCH($E282,Products!$A$2:$A$50,0)),0))</f>
        <v>210</v>
      </c>
      <c r="K282" s="41" t="n">
        <f aca="false">IF($A282="","",$F282*$I282*(1-$G282))</f>
        <v>21280</v>
      </c>
      <c r="L282" s="41" t="n">
        <f aca="false">IF($A282="","",$F282*$J282)</f>
        <v>16800</v>
      </c>
      <c r="M282" s="41" t="n">
        <f aca="false">IF($A282="","",$K282-$L282)</f>
        <v>4480</v>
      </c>
    </row>
    <row r="283" customFormat="false" ht="15" hidden="false" customHeight="false" outlineLevel="0" collapsed="false">
      <c r="A283" s="37" t="s">
        <v>382</v>
      </c>
      <c r="B283" s="38" t="n">
        <v>45910</v>
      </c>
      <c r="C283" s="37" t="s">
        <v>88</v>
      </c>
      <c r="D283" s="37" t="s">
        <v>89</v>
      </c>
      <c r="E283" s="37" t="s">
        <v>96</v>
      </c>
      <c r="F283" s="39" t="n">
        <v>13</v>
      </c>
      <c r="G283" s="40" t="n">
        <v>0.1</v>
      </c>
      <c r="H283" s="8" t="str">
        <f aca="false">IF($A283="","",IFERROR(INDEX(Products!$B$2:$B$50,MATCH($E283,Products!$A$2:$A$50,0)),"Unmapped"))</f>
        <v>Furniture</v>
      </c>
      <c r="I283" s="41" t="n">
        <f aca="false">IF($A283="","",IFERROR(INDEX(Products!$C$2:$C$50,MATCH($E283,Products!$A$2:$A$50,0)),0))</f>
        <v>4800</v>
      </c>
      <c r="J283" s="41" t="n">
        <f aca="false">IF($A283="","",IFERROR(INDEX(Products!$D$2:$D$50,MATCH($E283,Products!$A$2:$A$50,0)),0))</f>
        <v>3500</v>
      </c>
      <c r="K283" s="41" t="n">
        <f aca="false">IF($A283="","",$F283*$I283*(1-$G283))</f>
        <v>56160</v>
      </c>
      <c r="L283" s="41" t="n">
        <f aca="false">IF($A283="","",$F283*$J283)</f>
        <v>45500</v>
      </c>
      <c r="M283" s="41" t="n">
        <f aca="false">IF($A283="","",$K283-$L283)</f>
        <v>10660</v>
      </c>
    </row>
    <row r="284" customFormat="false" ht="15" hidden="false" customHeight="false" outlineLevel="0" collapsed="false">
      <c r="A284" s="37" t="s">
        <v>383</v>
      </c>
      <c r="B284" s="38" t="n">
        <v>45912</v>
      </c>
      <c r="C284" s="37" t="s">
        <v>82</v>
      </c>
      <c r="D284" s="37" t="s">
        <v>83</v>
      </c>
      <c r="E284" s="37" t="s">
        <v>114</v>
      </c>
      <c r="F284" s="39" t="n">
        <v>14</v>
      </c>
      <c r="G284" s="40" t="n">
        <v>0.1</v>
      </c>
      <c r="H284" s="8" t="str">
        <f aca="false">IF($A284="","",IFERROR(INDEX(Products!$B$2:$B$50,MATCH($E284,Products!$A$2:$A$50,0)),"Unmapped"))</f>
        <v>Pantry</v>
      </c>
      <c r="I284" s="41" t="n">
        <f aca="false">IF($A284="","",IFERROR(INDEX(Products!$C$2:$C$50,MATCH($E284,Products!$A$2:$A$50,0)),0))</f>
        <v>1500</v>
      </c>
      <c r="J284" s="41" t="n">
        <f aca="false">IF($A284="","",IFERROR(INDEX(Products!$D$2:$D$50,MATCH($E284,Products!$A$2:$A$50,0)),0))</f>
        <v>1100</v>
      </c>
      <c r="K284" s="41" t="n">
        <f aca="false">IF($A284="","",$F284*$I284*(1-$G284))</f>
        <v>18900</v>
      </c>
      <c r="L284" s="41" t="n">
        <f aca="false">IF($A284="","",$F284*$J284)</f>
        <v>15400</v>
      </c>
      <c r="M284" s="41" t="n">
        <f aca="false">IF($A284="","",$K284-$L284)</f>
        <v>3500</v>
      </c>
    </row>
    <row r="285" customFormat="false" ht="15" hidden="false" customHeight="false" outlineLevel="0" collapsed="false">
      <c r="A285" s="37" t="s">
        <v>384</v>
      </c>
      <c r="B285" s="38" t="n">
        <v>45913</v>
      </c>
      <c r="C285" s="37" t="s">
        <v>82</v>
      </c>
      <c r="D285" s="37" t="s">
        <v>93</v>
      </c>
      <c r="E285" s="37" t="s">
        <v>107</v>
      </c>
      <c r="F285" s="39" t="n">
        <v>9</v>
      </c>
      <c r="G285" s="40" t="n">
        <v>0.1</v>
      </c>
      <c r="H285" s="8" t="str">
        <f aca="false">IF($A285="","",IFERROR(INDEX(Products!$B$2:$B$50,MATCH($E285,Products!$A$2:$A$50,0)),"Unmapped"))</f>
        <v>Furniture</v>
      </c>
      <c r="I285" s="41" t="n">
        <f aca="false">IF($A285="","",IFERROR(INDEX(Products!$C$2:$C$50,MATCH($E285,Products!$A$2:$A$50,0)),0))</f>
        <v>7200</v>
      </c>
      <c r="J285" s="41" t="n">
        <f aca="false">IF($A285="","",IFERROR(INDEX(Products!$D$2:$D$50,MATCH($E285,Products!$A$2:$A$50,0)),0))</f>
        <v>5400</v>
      </c>
      <c r="K285" s="41" t="n">
        <f aca="false">IF($A285="","",$F285*$I285*(1-$G285))</f>
        <v>58320</v>
      </c>
      <c r="L285" s="41" t="n">
        <f aca="false">IF($A285="","",$F285*$J285)</f>
        <v>48600</v>
      </c>
      <c r="M285" s="41" t="n">
        <f aca="false">IF($A285="","",$K285-$L285)</f>
        <v>9720</v>
      </c>
    </row>
    <row r="286" customFormat="false" ht="15" hidden="false" customHeight="false" outlineLevel="0" collapsed="false">
      <c r="A286" s="37" t="s">
        <v>385</v>
      </c>
      <c r="B286" s="38" t="n">
        <v>45913</v>
      </c>
      <c r="C286" s="37" t="s">
        <v>78</v>
      </c>
      <c r="D286" s="37" t="s">
        <v>86</v>
      </c>
      <c r="E286" s="37" t="s">
        <v>114</v>
      </c>
      <c r="F286" s="39" t="n">
        <v>22</v>
      </c>
      <c r="G286" s="40" t="n">
        <v>0</v>
      </c>
      <c r="H286" s="8" t="str">
        <f aca="false">IF($A286="","",IFERROR(INDEX(Products!$B$2:$B$50,MATCH($E286,Products!$A$2:$A$50,0)),"Unmapped"))</f>
        <v>Pantry</v>
      </c>
      <c r="I286" s="41" t="n">
        <f aca="false">IF($A286="","",IFERROR(INDEX(Products!$C$2:$C$50,MATCH($E286,Products!$A$2:$A$50,0)),0))</f>
        <v>1500</v>
      </c>
      <c r="J286" s="41" t="n">
        <f aca="false">IF($A286="","",IFERROR(INDEX(Products!$D$2:$D$50,MATCH($E286,Products!$A$2:$A$50,0)),0))</f>
        <v>1100</v>
      </c>
      <c r="K286" s="41" t="n">
        <f aca="false">IF($A286="","",$F286*$I286*(1-$G286))</f>
        <v>33000</v>
      </c>
      <c r="L286" s="41" t="n">
        <f aca="false">IF($A286="","",$F286*$J286)</f>
        <v>24200</v>
      </c>
      <c r="M286" s="41" t="n">
        <f aca="false">IF($A286="","",$K286-$L286)</f>
        <v>8800</v>
      </c>
    </row>
    <row r="287" customFormat="false" ht="15" hidden="false" customHeight="false" outlineLevel="0" collapsed="false">
      <c r="A287" s="37" t="s">
        <v>386</v>
      </c>
      <c r="B287" s="38" t="n">
        <v>45916</v>
      </c>
      <c r="C287" s="37" t="s">
        <v>88</v>
      </c>
      <c r="D287" s="37" t="s">
        <v>111</v>
      </c>
      <c r="E287" s="37" t="s">
        <v>90</v>
      </c>
      <c r="F287" s="39" t="n">
        <v>160</v>
      </c>
      <c r="G287" s="40" t="n">
        <v>0</v>
      </c>
      <c r="H287" s="8" t="str">
        <f aca="false">IF($A287="","",IFERROR(INDEX(Products!$B$2:$B$50,MATCH($E287,Products!$A$2:$A$50,0)),"Unmapped"))</f>
        <v>Stationery</v>
      </c>
      <c r="I287" s="41" t="n">
        <f aca="false">IF($A287="","",IFERROR(INDEX(Products!$C$2:$C$50,MATCH($E287,Products!$A$2:$A$50,0)),0))</f>
        <v>120</v>
      </c>
      <c r="J287" s="41" t="n">
        <f aca="false">IF($A287="","",IFERROR(INDEX(Products!$D$2:$D$50,MATCH($E287,Products!$A$2:$A$50,0)),0))</f>
        <v>80</v>
      </c>
      <c r="K287" s="41" t="n">
        <f aca="false">IF($A287="","",$F287*$I287*(1-$G287))</f>
        <v>19200</v>
      </c>
      <c r="L287" s="41" t="n">
        <f aca="false">IF($A287="","",$F287*$J287)</f>
        <v>12800</v>
      </c>
      <c r="M287" s="41" t="n">
        <f aca="false">IF($A287="","",$K287-$L287)</f>
        <v>6400</v>
      </c>
    </row>
    <row r="288" customFormat="false" ht="15" hidden="false" customHeight="false" outlineLevel="0" collapsed="false">
      <c r="A288" s="37" t="s">
        <v>387</v>
      </c>
      <c r="B288" s="38" t="n">
        <v>45916</v>
      </c>
      <c r="C288" s="37" t="s">
        <v>82</v>
      </c>
      <c r="D288" s="37" t="s">
        <v>93</v>
      </c>
      <c r="E288" s="37" t="s">
        <v>90</v>
      </c>
      <c r="F288" s="39" t="n">
        <v>159</v>
      </c>
      <c r="G288" s="40" t="n">
        <v>0.05</v>
      </c>
      <c r="H288" s="8" t="str">
        <f aca="false">IF($A288="","",IFERROR(INDEX(Products!$B$2:$B$50,MATCH($E288,Products!$A$2:$A$50,0)),"Unmapped"))</f>
        <v>Stationery</v>
      </c>
      <c r="I288" s="41" t="n">
        <f aca="false">IF($A288="","",IFERROR(INDEX(Products!$C$2:$C$50,MATCH($E288,Products!$A$2:$A$50,0)),0))</f>
        <v>120</v>
      </c>
      <c r="J288" s="41" t="n">
        <f aca="false">IF($A288="","",IFERROR(INDEX(Products!$D$2:$D$50,MATCH($E288,Products!$A$2:$A$50,0)),0))</f>
        <v>80</v>
      </c>
      <c r="K288" s="41" t="n">
        <f aca="false">IF($A288="","",$F288*$I288*(1-$G288))</f>
        <v>18126</v>
      </c>
      <c r="L288" s="41" t="n">
        <f aca="false">IF($A288="","",$F288*$J288)</f>
        <v>12720</v>
      </c>
      <c r="M288" s="41" t="n">
        <f aca="false">IF($A288="","",$K288-$L288)</f>
        <v>5406</v>
      </c>
    </row>
    <row r="289" customFormat="false" ht="15" hidden="false" customHeight="false" outlineLevel="0" collapsed="false">
      <c r="A289" s="37" t="s">
        <v>388</v>
      </c>
      <c r="B289" s="38" t="n">
        <v>45917</v>
      </c>
      <c r="C289" s="37" t="s">
        <v>82</v>
      </c>
      <c r="D289" s="37" t="s">
        <v>93</v>
      </c>
      <c r="E289" s="37" t="s">
        <v>84</v>
      </c>
      <c r="F289" s="39" t="n">
        <v>185</v>
      </c>
      <c r="G289" s="40" t="n">
        <v>0.1</v>
      </c>
      <c r="H289" s="8" t="str">
        <f aca="false">IF($A289="","",IFERROR(INDEX(Products!$B$2:$B$50,MATCH($E289,Products!$A$2:$A$50,0)),"Unmapped"))</f>
        <v>Stationery</v>
      </c>
      <c r="I289" s="41" t="n">
        <f aca="false">IF($A289="","",IFERROR(INDEX(Products!$C$2:$C$50,MATCH($E289,Products!$A$2:$A$50,0)),0))</f>
        <v>350</v>
      </c>
      <c r="J289" s="41" t="n">
        <f aca="false">IF($A289="","",IFERROR(INDEX(Products!$D$2:$D$50,MATCH($E289,Products!$A$2:$A$50,0)),0))</f>
        <v>240</v>
      </c>
      <c r="K289" s="41" t="n">
        <f aca="false">IF($A289="","",$F289*$I289*(1-$G289))</f>
        <v>58275</v>
      </c>
      <c r="L289" s="41" t="n">
        <f aca="false">IF($A289="","",$F289*$J289)</f>
        <v>44400</v>
      </c>
      <c r="M289" s="41" t="n">
        <f aca="false">IF($A289="","",$K289-$L289)</f>
        <v>13875</v>
      </c>
    </row>
    <row r="290" customFormat="false" ht="15" hidden="false" customHeight="false" outlineLevel="0" collapsed="false">
      <c r="A290" s="37" t="s">
        <v>389</v>
      </c>
      <c r="B290" s="38" t="n">
        <v>45917</v>
      </c>
      <c r="C290" s="37" t="s">
        <v>88</v>
      </c>
      <c r="D290" s="37" t="s">
        <v>89</v>
      </c>
      <c r="E290" s="37" t="s">
        <v>121</v>
      </c>
      <c r="F290" s="39" t="n">
        <v>4</v>
      </c>
      <c r="G290" s="40" t="n">
        <v>0.05</v>
      </c>
      <c r="H290" s="8" t="str">
        <f aca="false">IF($A290="","",IFERROR(INDEX(Products!$B$2:$B$50,MATCH($E290,Products!$A$2:$A$50,0)),"Unmapped"))</f>
        <v>Electronics</v>
      </c>
      <c r="I290" s="41" t="n">
        <f aca="false">IF($A290="","",IFERROR(INDEX(Products!$C$2:$C$50,MATCH($E290,Products!$A$2:$A$50,0)),0))</f>
        <v>650</v>
      </c>
      <c r="J290" s="41" t="n">
        <f aca="false">IF($A290="","",IFERROR(INDEX(Products!$D$2:$D$50,MATCH($E290,Products!$A$2:$A$50,0)),0))</f>
        <v>430</v>
      </c>
      <c r="K290" s="41" t="n">
        <f aca="false">IF($A290="","",$F290*$I290*(1-$G290))</f>
        <v>2470</v>
      </c>
      <c r="L290" s="41" t="n">
        <f aca="false">IF($A290="","",$F290*$J290)</f>
        <v>1720</v>
      </c>
      <c r="M290" s="41" t="n">
        <f aca="false">IF($A290="","",$K290-$L290)</f>
        <v>750</v>
      </c>
    </row>
    <row r="291" customFormat="false" ht="15" hidden="false" customHeight="false" outlineLevel="0" collapsed="false">
      <c r="A291" s="37" t="s">
        <v>390</v>
      </c>
      <c r="B291" s="38" t="n">
        <v>45918</v>
      </c>
      <c r="C291" s="37" t="s">
        <v>78</v>
      </c>
      <c r="D291" s="37" t="s">
        <v>79</v>
      </c>
      <c r="E291" s="37" t="s">
        <v>90</v>
      </c>
      <c r="F291" s="39" t="n">
        <v>170</v>
      </c>
      <c r="G291" s="40" t="n">
        <v>0</v>
      </c>
      <c r="H291" s="8" t="str">
        <f aca="false">IF($A291="","",IFERROR(INDEX(Products!$B$2:$B$50,MATCH($E291,Products!$A$2:$A$50,0)),"Unmapped"))</f>
        <v>Stationery</v>
      </c>
      <c r="I291" s="41" t="n">
        <f aca="false">IF($A291="","",IFERROR(INDEX(Products!$C$2:$C$50,MATCH($E291,Products!$A$2:$A$50,0)),0))</f>
        <v>120</v>
      </c>
      <c r="J291" s="41" t="n">
        <f aca="false">IF($A291="","",IFERROR(INDEX(Products!$D$2:$D$50,MATCH($E291,Products!$A$2:$A$50,0)),0))</f>
        <v>80</v>
      </c>
      <c r="K291" s="41" t="n">
        <f aca="false">IF($A291="","",$F291*$I291*(1-$G291))</f>
        <v>20400</v>
      </c>
      <c r="L291" s="41" t="n">
        <f aca="false">IF($A291="","",$F291*$J291)</f>
        <v>13600</v>
      </c>
      <c r="M291" s="41" t="n">
        <f aca="false">IF($A291="","",$K291-$L291)</f>
        <v>6800</v>
      </c>
    </row>
    <row r="292" customFormat="false" ht="15" hidden="false" customHeight="false" outlineLevel="0" collapsed="false">
      <c r="A292" s="37" t="s">
        <v>391</v>
      </c>
      <c r="B292" s="38" t="n">
        <v>45918</v>
      </c>
      <c r="C292" s="37" t="s">
        <v>78</v>
      </c>
      <c r="D292" s="37" t="s">
        <v>86</v>
      </c>
      <c r="E292" s="37" t="s">
        <v>121</v>
      </c>
      <c r="F292" s="39" t="n">
        <v>22</v>
      </c>
      <c r="G292" s="40" t="n">
        <v>0.1</v>
      </c>
      <c r="H292" s="8" t="str">
        <f aca="false">IF($A292="","",IFERROR(INDEX(Products!$B$2:$B$50,MATCH($E292,Products!$A$2:$A$50,0)),"Unmapped"))</f>
        <v>Electronics</v>
      </c>
      <c r="I292" s="41" t="n">
        <f aca="false">IF($A292="","",IFERROR(INDEX(Products!$C$2:$C$50,MATCH($E292,Products!$A$2:$A$50,0)),0))</f>
        <v>650</v>
      </c>
      <c r="J292" s="41" t="n">
        <f aca="false">IF($A292="","",IFERROR(INDEX(Products!$D$2:$D$50,MATCH($E292,Products!$A$2:$A$50,0)),0))</f>
        <v>430</v>
      </c>
      <c r="K292" s="41" t="n">
        <f aca="false">IF($A292="","",$F292*$I292*(1-$G292))</f>
        <v>12870</v>
      </c>
      <c r="L292" s="41" t="n">
        <f aca="false">IF($A292="","",$F292*$J292)</f>
        <v>9460</v>
      </c>
      <c r="M292" s="41" t="n">
        <f aca="false">IF($A292="","",$K292-$L292)</f>
        <v>3410</v>
      </c>
    </row>
    <row r="293" customFormat="false" ht="15" hidden="false" customHeight="false" outlineLevel="0" collapsed="false">
      <c r="A293" s="37" t="s">
        <v>392</v>
      </c>
      <c r="B293" s="38" t="n">
        <v>45919</v>
      </c>
      <c r="C293" s="37" t="s">
        <v>105</v>
      </c>
      <c r="D293" s="37" t="s">
        <v>116</v>
      </c>
      <c r="E293" s="37" t="s">
        <v>114</v>
      </c>
      <c r="F293" s="39" t="n">
        <v>8</v>
      </c>
      <c r="G293" s="40" t="n">
        <v>0</v>
      </c>
      <c r="H293" s="8" t="str">
        <f aca="false">IF($A293="","",IFERROR(INDEX(Products!$B$2:$B$50,MATCH($E293,Products!$A$2:$A$50,0)),"Unmapped"))</f>
        <v>Pantry</v>
      </c>
      <c r="I293" s="41" t="n">
        <f aca="false">IF($A293="","",IFERROR(INDEX(Products!$C$2:$C$50,MATCH($E293,Products!$A$2:$A$50,0)),0))</f>
        <v>1500</v>
      </c>
      <c r="J293" s="41" t="n">
        <f aca="false">IF($A293="","",IFERROR(INDEX(Products!$D$2:$D$50,MATCH($E293,Products!$A$2:$A$50,0)),0))</f>
        <v>1100</v>
      </c>
      <c r="K293" s="41" t="n">
        <f aca="false">IF($A293="","",$F293*$I293*(1-$G293))</f>
        <v>12000</v>
      </c>
      <c r="L293" s="41" t="n">
        <f aca="false">IF($A293="","",$F293*$J293)</f>
        <v>8800</v>
      </c>
      <c r="M293" s="41" t="n">
        <f aca="false">IF($A293="","",$K293-$L293)</f>
        <v>3200</v>
      </c>
    </row>
    <row r="294" customFormat="false" ht="15" hidden="false" customHeight="false" outlineLevel="0" collapsed="false">
      <c r="A294" s="37" t="s">
        <v>393</v>
      </c>
      <c r="B294" s="38" t="n">
        <v>45920</v>
      </c>
      <c r="C294" s="37" t="s">
        <v>78</v>
      </c>
      <c r="D294" s="37" t="s">
        <v>79</v>
      </c>
      <c r="E294" s="37" t="s">
        <v>114</v>
      </c>
      <c r="F294" s="39" t="n">
        <v>18</v>
      </c>
      <c r="G294" s="40" t="n">
        <v>0.05</v>
      </c>
      <c r="H294" s="8" t="str">
        <f aca="false">IF($A294="","",IFERROR(INDEX(Products!$B$2:$B$50,MATCH($E294,Products!$A$2:$A$50,0)),"Unmapped"))</f>
        <v>Pantry</v>
      </c>
      <c r="I294" s="41" t="n">
        <f aca="false">IF($A294="","",IFERROR(INDEX(Products!$C$2:$C$50,MATCH($E294,Products!$A$2:$A$50,0)),0))</f>
        <v>1500</v>
      </c>
      <c r="J294" s="41" t="n">
        <f aca="false">IF($A294="","",IFERROR(INDEX(Products!$D$2:$D$50,MATCH($E294,Products!$A$2:$A$50,0)),0))</f>
        <v>1100</v>
      </c>
      <c r="K294" s="41" t="n">
        <f aca="false">IF($A294="","",$F294*$I294*(1-$G294))</f>
        <v>25650</v>
      </c>
      <c r="L294" s="41" t="n">
        <f aca="false">IF($A294="","",$F294*$J294)</f>
        <v>19800</v>
      </c>
      <c r="M294" s="41" t="n">
        <f aca="false">IF($A294="","",$K294-$L294)</f>
        <v>5850</v>
      </c>
    </row>
    <row r="295" customFormat="false" ht="15" hidden="false" customHeight="false" outlineLevel="0" collapsed="false">
      <c r="A295" s="37" t="s">
        <v>394</v>
      </c>
      <c r="B295" s="38" t="n">
        <v>45920</v>
      </c>
      <c r="C295" s="37" t="s">
        <v>105</v>
      </c>
      <c r="D295" s="37" t="s">
        <v>116</v>
      </c>
      <c r="E295" s="37" t="s">
        <v>96</v>
      </c>
      <c r="F295" s="39" t="n">
        <v>14</v>
      </c>
      <c r="G295" s="40" t="n">
        <v>0.1</v>
      </c>
      <c r="H295" s="8" t="str">
        <f aca="false">IF($A295="","",IFERROR(INDEX(Products!$B$2:$B$50,MATCH($E295,Products!$A$2:$A$50,0)),"Unmapped"))</f>
        <v>Furniture</v>
      </c>
      <c r="I295" s="41" t="n">
        <f aca="false">IF($A295="","",IFERROR(INDEX(Products!$C$2:$C$50,MATCH($E295,Products!$A$2:$A$50,0)),0))</f>
        <v>4800</v>
      </c>
      <c r="J295" s="41" t="n">
        <f aca="false">IF($A295="","",IFERROR(INDEX(Products!$D$2:$D$50,MATCH($E295,Products!$A$2:$A$50,0)),0))</f>
        <v>3500</v>
      </c>
      <c r="K295" s="41" t="n">
        <f aca="false">IF($A295="","",$F295*$I295*(1-$G295))</f>
        <v>60480</v>
      </c>
      <c r="L295" s="41" t="n">
        <f aca="false">IF($A295="","",$F295*$J295)</f>
        <v>49000</v>
      </c>
      <c r="M295" s="41" t="n">
        <f aca="false">IF($A295="","",$K295-$L295)</f>
        <v>11480</v>
      </c>
    </row>
    <row r="296" customFormat="false" ht="15" hidden="false" customHeight="false" outlineLevel="0" collapsed="false">
      <c r="A296" s="37" t="s">
        <v>395</v>
      </c>
      <c r="B296" s="38" t="n">
        <v>45920</v>
      </c>
      <c r="C296" s="37" t="s">
        <v>82</v>
      </c>
      <c r="D296" s="37" t="s">
        <v>93</v>
      </c>
      <c r="E296" s="37" t="s">
        <v>134</v>
      </c>
      <c r="F296" s="39" t="n">
        <v>6</v>
      </c>
      <c r="G296" s="40" t="n">
        <v>0</v>
      </c>
      <c r="H296" s="8" t="str">
        <f aca="false">IF($A296="","",IFERROR(INDEX(Products!$B$2:$B$50,MATCH($E296,Products!$A$2:$A$50,0)),"Unmapped"))</f>
        <v>Furniture</v>
      </c>
      <c r="I296" s="41" t="n">
        <f aca="false">IF($A296="","",IFERROR(INDEX(Products!$C$2:$C$50,MATCH($E296,Products!$A$2:$A$50,0)),0))</f>
        <v>6100</v>
      </c>
      <c r="J296" s="41" t="n">
        <f aca="false">IF($A296="","",IFERROR(INDEX(Products!$D$2:$D$50,MATCH($E296,Products!$A$2:$A$50,0)),0))</f>
        <v>4500</v>
      </c>
      <c r="K296" s="41" t="n">
        <f aca="false">IF($A296="","",$F296*$I296*(1-$G296))</f>
        <v>36600</v>
      </c>
      <c r="L296" s="41" t="n">
        <f aca="false">IF($A296="","",$F296*$J296)</f>
        <v>27000</v>
      </c>
      <c r="M296" s="41" t="n">
        <f aca="false">IF($A296="","",$K296-$L296)</f>
        <v>9600</v>
      </c>
    </row>
    <row r="297" customFormat="false" ht="15" hidden="false" customHeight="false" outlineLevel="0" collapsed="false">
      <c r="A297" s="37" t="s">
        <v>396</v>
      </c>
      <c r="B297" s="38" t="n">
        <v>45921</v>
      </c>
      <c r="C297" s="37" t="s">
        <v>82</v>
      </c>
      <c r="D297" s="37" t="s">
        <v>93</v>
      </c>
      <c r="E297" s="37" t="s">
        <v>94</v>
      </c>
      <c r="F297" s="39" t="n">
        <v>89</v>
      </c>
      <c r="G297" s="40" t="n">
        <v>0.1</v>
      </c>
      <c r="H297" s="8" t="str">
        <f aca="false">IF($A297="","",IFERROR(INDEX(Products!$B$2:$B$50,MATCH($E297,Products!$A$2:$A$50,0)),"Unmapped"))</f>
        <v>Stationery</v>
      </c>
      <c r="I297" s="41" t="n">
        <f aca="false">IF($A297="","",IFERROR(INDEX(Products!$C$2:$C$50,MATCH($E297,Products!$A$2:$A$50,0)),0))</f>
        <v>280</v>
      </c>
      <c r="J297" s="41" t="n">
        <f aca="false">IF($A297="","",IFERROR(INDEX(Products!$D$2:$D$50,MATCH($E297,Products!$A$2:$A$50,0)),0))</f>
        <v>210</v>
      </c>
      <c r="K297" s="41" t="n">
        <f aca="false">IF($A297="","",$F297*$I297*(1-$G297))</f>
        <v>22428</v>
      </c>
      <c r="L297" s="41" t="n">
        <f aca="false">IF($A297="","",$F297*$J297)</f>
        <v>18690</v>
      </c>
      <c r="M297" s="41" t="n">
        <f aca="false">IF($A297="","",$K297-$L297)</f>
        <v>3738</v>
      </c>
    </row>
    <row r="298" customFormat="false" ht="15" hidden="false" customHeight="false" outlineLevel="0" collapsed="false">
      <c r="A298" s="37" t="s">
        <v>397</v>
      </c>
      <c r="B298" s="38" t="n">
        <v>45921</v>
      </c>
      <c r="C298" s="37" t="s">
        <v>105</v>
      </c>
      <c r="D298" s="37" t="s">
        <v>116</v>
      </c>
      <c r="E298" s="37" t="s">
        <v>107</v>
      </c>
      <c r="F298" s="39" t="n">
        <v>2</v>
      </c>
      <c r="G298" s="40" t="n">
        <v>0.05</v>
      </c>
      <c r="H298" s="8" t="str">
        <f aca="false">IF($A298="","",IFERROR(INDEX(Products!$B$2:$B$50,MATCH($E298,Products!$A$2:$A$50,0)),"Unmapped"))</f>
        <v>Furniture</v>
      </c>
      <c r="I298" s="41" t="n">
        <f aca="false">IF($A298="","",IFERROR(INDEX(Products!$C$2:$C$50,MATCH($E298,Products!$A$2:$A$50,0)),0))</f>
        <v>7200</v>
      </c>
      <c r="J298" s="41" t="n">
        <f aca="false">IF($A298="","",IFERROR(INDEX(Products!$D$2:$D$50,MATCH($E298,Products!$A$2:$A$50,0)),0))</f>
        <v>5400</v>
      </c>
      <c r="K298" s="41" t="n">
        <f aca="false">IF($A298="","",$F298*$I298*(1-$G298))</f>
        <v>13680</v>
      </c>
      <c r="L298" s="41" t="n">
        <f aca="false">IF($A298="","",$F298*$J298)</f>
        <v>10800</v>
      </c>
      <c r="M298" s="41" t="n">
        <f aca="false">IF($A298="","",$K298-$L298)</f>
        <v>2880</v>
      </c>
    </row>
    <row r="299" customFormat="false" ht="15" hidden="false" customHeight="false" outlineLevel="0" collapsed="false">
      <c r="A299" s="37" t="s">
        <v>398</v>
      </c>
      <c r="B299" s="38" t="n">
        <v>45922</v>
      </c>
      <c r="C299" s="37" t="s">
        <v>82</v>
      </c>
      <c r="D299" s="37" t="s">
        <v>93</v>
      </c>
      <c r="E299" s="37" t="s">
        <v>90</v>
      </c>
      <c r="F299" s="39" t="n">
        <v>105</v>
      </c>
      <c r="G299" s="40" t="n">
        <v>0</v>
      </c>
      <c r="H299" s="8" t="str">
        <f aca="false">IF($A299="","",IFERROR(INDEX(Products!$B$2:$B$50,MATCH($E299,Products!$A$2:$A$50,0)),"Unmapped"))</f>
        <v>Stationery</v>
      </c>
      <c r="I299" s="41" t="n">
        <f aca="false">IF($A299="","",IFERROR(INDEX(Products!$C$2:$C$50,MATCH($E299,Products!$A$2:$A$50,0)),0))</f>
        <v>120</v>
      </c>
      <c r="J299" s="41" t="n">
        <f aca="false">IF($A299="","",IFERROR(INDEX(Products!$D$2:$D$50,MATCH($E299,Products!$A$2:$A$50,0)),0))</f>
        <v>80</v>
      </c>
      <c r="K299" s="41" t="n">
        <f aca="false">IF($A299="","",$F299*$I299*(1-$G299))</f>
        <v>12600</v>
      </c>
      <c r="L299" s="41" t="n">
        <f aca="false">IF($A299="","",$F299*$J299)</f>
        <v>8400</v>
      </c>
      <c r="M299" s="41" t="n">
        <f aca="false">IF($A299="","",$K299-$L299)</f>
        <v>4200</v>
      </c>
    </row>
    <row r="300" customFormat="false" ht="15" hidden="false" customHeight="false" outlineLevel="0" collapsed="false">
      <c r="A300" s="37" t="s">
        <v>399</v>
      </c>
      <c r="B300" s="38" t="n">
        <v>45923</v>
      </c>
      <c r="C300" s="37" t="s">
        <v>82</v>
      </c>
      <c r="D300" s="37" t="s">
        <v>93</v>
      </c>
      <c r="E300" s="37" t="s">
        <v>94</v>
      </c>
      <c r="F300" s="39" t="n">
        <v>173</v>
      </c>
      <c r="G300" s="40" t="n">
        <v>0.05</v>
      </c>
      <c r="H300" s="8" t="str">
        <f aca="false">IF($A300="","",IFERROR(INDEX(Products!$B$2:$B$50,MATCH($E300,Products!$A$2:$A$50,0)),"Unmapped"))</f>
        <v>Stationery</v>
      </c>
      <c r="I300" s="41" t="n">
        <f aca="false">IF($A300="","",IFERROR(INDEX(Products!$C$2:$C$50,MATCH($E300,Products!$A$2:$A$50,0)),0))</f>
        <v>280</v>
      </c>
      <c r="J300" s="41" t="n">
        <f aca="false">IF($A300="","",IFERROR(INDEX(Products!$D$2:$D$50,MATCH($E300,Products!$A$2:$A$50,0)),0))</f>
        <v>210</v>
      </c>
      <c r="K300" s="41" t="n">
        <f aca="false">IF($A300="","",$F300*$I300*(1-$G300))</f>
        <v>46018</v>
      </c>
      <c r="L300" s="41" t="n">
        <f aca="false">IF($A300="","",$F300*$J300)</f>
        <v>36330</v>
      </c>
      <c r="M300" s="41" t="n">
        <f aca="false">IF($A300="","",$K300-$L300)</f>
        <v>9688</v>
      </c>
    </row>
    <row r="301" customFormat="false" ht="15" hidden="false" customHeight="false" outlineLevel="0" collapsed="false">
      <c r="A301" s="37" t="s">
        <v>400</v>
      </c>
      <c r="B301" s="38" t="n">
        <v>45923</v>
      </c>
      <c r="C301" s="37" t="s">
        <v>78</v>
      </c>
      <c r="D301" s="37" t="s">
        <v>86</v>
      </c>
      <c r="E301" s="37" t="s">
        <v>96</v>
      </c>
      <c r="F301" s="39" t="n">
        <v>3</v>
      </c>
      <c r="G301" s="40" t="n">
        <v>0.05</v>
      </c>
      <c r="H301" s="8" t="str">
        <f aca="false">IF($A301="","",IFERROR(INDEX(Products!$B$2:$B$50,MATCH($E301,Products!$A$2:$A$50,0)),"Unmapped"))</f>
        <v>Furniture</v>
      </c>
      <c r="I301" s="41" t="n">
        <f aca="false">IF($A301="","",IFERROR(INDEX(Products!$C$2:$C$50,MATCH($E301,Products!$A$2:$A$50,0)),0))</f>
        <v>4800</v>
      </c>
      <c r="J301" s="41" t="n">
        <f aca="false">IF($A301="","",IFERROR(INDEX(Products!$D$2:$D$50,MATCH($E301,Products!$A$2:$A$50,0)),0))</f>
        <v>3500</v>
      </c>
      <c r="K301" s="41" t="n">
        <f aca="false">IF($A301="","",$F301*$I301*(1-$G301))</f>
        <v>13680</v>
      </c>
      <c r="L301" s="41" t="n">
        <f aca="false">IF($A301="","",$F301*$J301)</f>
        <v>10500</v>
      </c>
      <c r="M301" s="41" t="n">
        <f aca="false">IF($A301="","",$K301-$L301)</f>
        <v>3180</v>
      </c>
    </row>
    <row r="302" customFormat="false" ht="15" hidden="false" customHeight="false" outlineLevel="0" collapsed="false">
      <c r="A302" s="37" t="s">
        <v>401</v>
      </c>
      <c r="B302" s="38" t="n">
        <v>45925</v>
      </c>
      <c r="C302" s="37" t="s">
        <v>78</v>
      </c>
      <c r="D302" s="37" t="s">
        <v>86</v>
      </c>
      <c r="E302" s="37" t="s">
        <v>157</v>
      </c>
      <c r="F302" s="39" t="n">
        <v>29</v>
      </c>
      <c r="G302" s="40" t="n">
        <v>0</v>
      </c>
      <c r="H302" s="8" t="str">
        <f aca="false">IF($A302="","",IFERROR(INDEX(Products!$B$2:$B$50,MATCH($E302,Products!$A$2:$A$50,0)),"Unmapped"))</f>
        <v>Electronics</v>
      </c>
      <c r="I302" s="41" t="n">
        <f aca="false">IF($A302="","",IFERROR(INDEX(Products!$C$2:$C$50,MATCH($E302,Products!$A$2:$A$50,0)),0))</f>
        <v>8900</v>
      </c>
      <c r="J302" s="41" t="n">
        <f aca="false">IF($A302="","",IFERROR(INDEX(Products!$D$2:$D$50,MATCH($E302,Products!$A$2:$A$50,0)),0))</f>
        <v>7000</v>
      </c>
      <c r="K302" s="41" t="n">
        <f aca="false">IF($A302="","",$F302*$I302*(1-$G302))</f>
        <v>258100</v>
      </c>
      <c r="L302" s="41" t="n">
        <f aca="false">IF($A302="","",$F302*$J302)</f>
        <v>203000</v>
      </c>
      <c r="M302" s="41" t="n">
        <f aca="false">IF($A302="","",$K302-$L302)</f>
        <v>55100</v>
      </c>
    </row>
    <row r="303" customFormat="false" ht="15" hidden="false" customHeight="false" outlineLevel="0" collapsed="false">
      <c r="A303" s="37" t="s">
        <v>402</v>
      </c>
      <c r="B303" s="38" t="n">
        <v>45925</v>
      </c>
      <c r="C303" s="37" t="s">
        <v>78</v>
      </c>
      <c r="D303" s="37" t="s">
        <v>86</v>
      </c>
      <c r="E303" s="37" t="s">
        <v>90</v>
      </c>
      <c r="F303" s="39" t="n">
        <v>25</v>
      </c>
      <c r="G303" s="40" t="n">
        <v>0.05</v>
      </c>
      <c r="H303" s="8" t="str">
        <f aca="false">IF($A303="","",IFERROR(INDEX(Products!$B$2:$B$50,MATCH($E303,Products!$A$2:$A$50,0)),"Unmapped"))</f>
        <v>Stationery</v>
      </c>
      <c r="I303" s="41" t="n">
        <f aca="false">IF($A303="","",IFERROR(INDEX(Products!$C$2:$C$50,MATCH($E303,Products!$A$2:$A$50,0)),0))</f>
        <v>120</v>
      </c>
      <c r="J303" s="41" t="n">
        <f aca="false">IF($A303="","",IFERROR(INDEX(Products!$D$2:$D$50,MATCH($E303,Products!$A$2:$A$50,0)),0))</f>
        <v>80</v>
      </c>
      <c r="K303" s="41" t="n">
        <f aca="false">IF($A303="","",$F303*$I303*(1-$G303))</f>
        <v>2850</v>
      </c>
      <c r="L303" s="41" t="n">
        <f aca="false">IF($A303="","",$F303*$J303)</f>
        <v>2000</v>
      </c>
      <c r="M303" s="41" t="n">
        <f aca="false">IF($A303="","",$K303-$L303)</f>
        <v>850</v>
      </c>
    </row>
    <row r="304" customFormat="false" ht="15" hidden="false" customHeight="false" outlineLevel="0" collapsed="false">
      <c r="A304" s="37" t="s">
        <v>403</v>
      </c>
      <c r="B304" s="38" t="n">
        <v>45925</v>
      </c>
      <c r="C304" s="37" t="s">
        <v>82</v>
      </c>
      <c r="D304" s="37" t="s">
        <v>93</v>
      </c>
      <c r="E304" s="37" t="s">
        <v>80</v>
      </c>
      <c r="F304" s="39" t="n">
        <v>17</v>
      </c>
      <c r="G304" s="40" t="n">
        <v>0</v>
      </c>
      <c r="H304" s="8" t="str">
        <f aca="false">IF($A304="","",IFERROR(INDEX(Products!$B$2:$B$50,MATCH($E304,Products!$A$2:$A$50,0)),"Unmapped"))</f>
        <v>Pantry</v>
      </c>
      <c r="I304" s="41" t="n">
        <f aca="false">IF($A304="","",IFERROR(INDEX(Products!$C$2:$C$50,MATCH($E304,Products!$A$2:$A$50,0)),0))</f>
        <v>5600</v>
      </c>
      <c r="J304" s="41" t="n">
        <f aca="false">IF($A304="","",IFERROR(INDEX(Products!$D$2:$D$50,MATCH($E304,Products!$A$2:$A$50,0)),0))</f>
        <v>4200</v>
      </c>
      <c r="K304" s="41" t="n">
        <f aca="false">IF($A304="","",$F304*$I304*(1-$G304))</f>
        <v>95200</v>
      </c>
      <c r="L304" s="41" t="n">
        <f aca="false">IF($A304="","",$F304*$J304)</f>
        <v>71400</v>
      </c>
      <c r="M304" s="41" t="n">
        <f aca="false">IF($A304="","",$K304-$L304)</f>
        <v>23800</v>
      </c>
    </row>
    <row r="305" customFormat="false" ht="15" hidden="false" customHeight="false" outlineLevel="0" collapsed="false">
      <c r="A305" s="37" t="s">
        <v>404</v>
      </c>
      <c r="B305" s="38" t="n">
        <v>45926</v>
      </c>
      <c r="C305" s="37" t="s">
        <v>78</v>
      </c>
      <c r="D305" s="37" t="s">
        <v>79</v>
      </c>
      <c r="E305" s="37" t="s">
        <v>94</v>
      </c>
      <c r="F305" s="39" t="n">
        <v>125</v>
      </c>
      <c r="G305" s="40" t="n">
        <v>0</v>
      </c>
      <c r="H305" s="8" t="str">
        <f aca="false">IF($A305="","",IFERROR(INDEX(Products!$B$2:$B$50,MATCH($E305,Products!$A$2:$A$50,0)),"Unmapped"))</f>
        <v>Stationery</v>
      </c>
      <c r="I305" s="41" t="n">
        <f aca="false">IF($A305="","",IFERROR(INDEX(Products!$C$2:$C$50,MATCH($E305,Products!$A$2:$A$50,0)),0))</f>
        <v>280</v>
      </c>
      <c r="J305" s="41" t="n">
        <f aca="false">IF($A305="","",IFERROR(INDEX(Products!$D$2:$D$50,MATCH($E305,Products!$A$2:$A$50,0)),0))</f>
        <v>210</v>
      </c>
      <c r="K305" s="41" t="n">
        <f aca="false">IF($A305="","",$F305*$I305*(1-$G305))</f>
        <v>35000</v>
      </c>
      <c r="L305" s="41" t="n">
        <f aca="false">IF($A305="","",$F305*$J305)</f>
        <v>26250</v>
      </c>
      <c r="M305" s="41" t="n">
        <f aca="false">IF($A305="","",$K305-$L305)</f>
        <v>8750</v>
      </c>
    </row>
    <row r="306" customFormat="false" ht="15" hidden="false" customHeight="false" outlineLevel="0" collapsed="false">
      <c r="A306" s="37" t="s">
        <v>405</v>
      </c>
      <c r="B306" s="38" t="n">
        <v>45926</v>
      </c>
      <c r="C306" s="37" t="s">
        <v>78</v>
      </c>
      <c r="D306" s="37" t="s">
        <v>86</v>
      </c>
      <c r="E306" s="37" t="s">
        <v>114</v>
      </c>
      <c r="F306" s="39" t="n">
        <v>25</v>
      </c>
      <c r="G306" s="40" t="n">
        <v>0</v>
      </c>
      <c r="H306" s="8" t="str">
        <f aca="false">IF($A306="","",IFERROR(INDEX(Products!$B$2:$B$50,MATCH($E306,Products!$A$2:$A$50,0)),"Unmapped"))</f>
        <v>Pantry</v>
      </c>
      <c r="I306" s="41" t="n">
        <f aca="false">IF($A306="","",IFERROR(INDEX(Products!$C$2:$C$50,MATCH($E306,Products!$A$2:$A$50,0)),0))</f>
        <v>1500</v>
      </c>
      <c r="J306" s="41" t="n">
        <f aca="false">IF($A306="","",IFERROR(INDEX(Products!$D$2:$D$50,MATCH($E306,Products!$A$2:$A$50,0)),0))</f>
        <v>1100</v>
      </c>
      <c r="K306" s="41" t="n">
        <f aca="false">IF($A306="","",$F306*$I306*(1-$G306))</f>
        <v>37500</v>
      </c>
      <c r="L306" s="41" t="n">
        <f aca="false">IF($A306="","",$F306*$J306)</f>
        <v>27500</v>
      </c>
      <c r="M306" s="41" t="n">
        <f aca="false">IF($A306="","",$K306-$L306)</f>
        <v>10000</v>
      </c>
    </row>
    <row r="307" customFormat="false" ht="15" hidden="false" customHeight="false" outlineLevel="0" collapsed="false">
      <c r="A307" s="37" t="s">
        <v>406</v>
      </c>
      <c r="B307" s="38" t="n">
        <v>45927</v>
      </c>
      <c r="C307" s="37" t="s">
        <v>82</v>
      </c>
      <c r="D307" s="37" t="s">
        <v>83</v>
      </c>
      <c r="E307" s="37" t="s">
        <v>114</v>
      </c>
      <c r="F307" s="39" t="n">
        <v>15</v>
      </c>
      <c r="G307" s="40" t="n">
        <v>0.05</v>
      </c>
      <c r="H307" s="8" t="str">
        <f aca="false">IF($A307="","",IFERROR(INDEX(Products!$B$2:$B$50,MATCH($E307,Products!$A$2:$A$50,0)),"Unmapped"))</f>
        <v>Pantry</v>
      </c>
      <c r="I307" s="41" t="n">
        <f aca="false">IF($A307="","",IFERROR(INDEX(Products!$C$2:$C$50,MATCH($E307,Products!$A$2:$A$50,0)),0))</f>
        <v>1500</v>
      </c>
      <c r="J307" s="41" t="n">
        <f aca="false">IF($A307="","",IFERROR(INDEX(Products!$D$2:$D$50,MATCH($E307,Products!$A$2:$A$50,0)),0))</f>
        <v>1100</v>
      </c>
      <c r="K307" s="41" t="n">
        <f aca="false">IF($A307="","",$F307*$I307*(1-$G307))</f>
        <v>21375</v>
      </c>
      <c r="L307" s="41" t="n">
        <f aca="false">IF($A307="","",$F307*$J307)</f>
        <v>16500</v>
      </c>
      <c r="M307" s="41" t="n">
        <f aca="false">IF($A307="","",$K307-$L307)</f>
        <v>4875</v>
      </c>
    </row>
    <row r="308" customFormat="false" ht="15" hidden="false" customHeight="false" outlineLevel="0" collapsed="false">
      <c r="A308" s="37" t="s">
        <v>407</v>
      </c>
      <c r="B308" s="38" t="n">
        <v>45929</v>
      </c>
      <c r="C308" s="37" t="s">
        <v>82</v>
      </c>
      <c r="D308" s="37" t="s">
        <v>93</v>
      </c>
      <c r="E308" s="37" t="s">
        <v>90</v>
      </c>
      <c r="F308" s="39" t="n">
        <v>55</v>
      </c>
      <c r="G308" s="40" t="n">
        <v>0.05</v>
      </c>
      <c r="H308" s="8" t="str">
        <f aca="false">IF($A308="","",IFERROR(INDEX(Products!$B$2:$B$50,MATCH($E308,Products!$A$2:$A$50,0)),"Unmapped"))</f>
        <v>Stationery</v>
      </c>
      <c r="I308" s="41" t="n">
        <f aca="false">IF($A308="","",IFERROR(INDEX(Products!$C$2:$C$50,MATCH($E308,Products!$A$2:$A$50,0)),0))</f>
        <v>120</v>
      </c>
      <c r="J308" s="41" t="n">
        <f aca="false">IF($A308="","",IFERROR(INDEX(Products!$D$2:$D$50,MATCH($E308,Products!$A$2:$A$50,0)),0))</f>
        <v>80</v>
      </c>
      <c r="K308" s="41" t="n">
        <f aca="false">IF($A308="","",$F308*$I308*(1-$G308))</f>
        <v>6270</v>
      </c>
      <c r="L308" s="41" t="n">
        <f aca="false">IF($A308="","",$F308*$J308)</f>
        <v>4400</v>
      </c>
      <c r="M308" s="41" t="n">
        <f aca="false">IF($A308="","",$K308-$L308)</f>
        <v>1870</v>
      </c>
    </row>
    <row r="309" customFormat="false" ht="15" hidden="false" customHeight="false" outlineLevel="0" collapsed="false">
      <c r="A309" s="37" t="s">
        <v>408</v>
      </c>
      <c r="B309" s="38" t="n">
        <v>45929</v>
      </c>
      <c r="C309" s="37" t="s">
        <v>78</v>
      </c>
      <c r="D309" s="37" t="s">
        <v>86</v>
      </c>
      <c r="E309" s="37" t="s">
        <v>114</v>
      </c>
      <c r="F309" s="39" t="n">
        <v>40</v>
      </c>
      <c r="G309" s="40" t="n">
        <v>0</v>
      </c>
      <c r="H309" s="8" t="str">
        <f aca="false">IF($A309="","",IFERROR(INDEX(Products!$B$2:$B$50,MATCH($E309,Products!$A$2:$A$50,0)),"Unmapped"))</f>
        <v>Pantry</v>
      </c>
      <c r="I309" s="41" t="n">
        <f aca="false">IF($A309="","",IFERROR(INDEX(Products!$C$2:$C$50,MATCH($E309,Products!$A$2:$A$50,0)),0))</f>
        <v>1500</v>
      </c>
      <c r="J309" s="41" t="n">
        <f aca="false">IF($A309="","",IFERROR(INDEX(Products!$D$2:$D$50,MATCH($E309,Products!$A$2:$A$50,0)),0))</f>
        <v>1100</v>
      </c>
      <c r="K309" s="41" t="n">
        <f aca="false">IF($A309="","",$F309*$I309*(1-$G309))</f>
        <v>60000</v>
      </c>
      <c r="L309" s="41" t="n">
        <f aca="false">IF($A309="","",$F309*$J309)</f>
        <v>44000</v>
      </c>
      <c r="M309" s="41" t="n">
        <f aca="false">IF($A309="","",$K309-$L309)</f>
        <v>16000</v>
      </c>
    </row>
    <row r="310" customFormat="false" ht="15" hidden="false" customHeight="false" outlineLevel="0" collapsed="false">
      <c r="A310" s="37" t="s">
        <v>409</v>
      </c>
      <c r="B310" s="38" t="n">
        <v>45929</v>
      </c>
      <c r="C310" s="37" t="s">
        <v>78</v>
      </c>
      <c r="D310" s="37" t="s">
        <v>86</v>
      </c>
      <c r="E310" s="37" t="s">
        <v>103</v>
      </c>
      <c r="F310" s="39" t="n">
        <v>3</v>
      </c>
      <c r="G310" s="40" t="n">
        <v>0.05</v>
      </c>
      <c r="H310" s="8" t="str">
        <f aca="false">IF($A310="","",IFERROR(INDEX(Products!$B$2:$B$50,MATCH($E310,Products!$A$2:$A$50,0)),"Unmapped"))</f>
        <v>Electronics</v>
      </c>
      <c r="I310" s="41" t="n">
        <f aca="false">IF($A310="","",IFERROR(INDEX(Products!$C$2:$C$50,MATCH($E310,Products!$A$2:$A$50,0)),0))</f>
        <v>900</v>
      </c>
      <c r="J310" s="41" t="n">
        <f aca="false">IF($A310="","",IFERROR(INDEX(Products!$D$2:$D$50,MATCH($E310,Products!$A$2:$A$50,0)),0))</f>
        <v>620</v>
      </c>
      <c r="K310" s="41" t="n">
        <f aca="false">IF($A310="","",$F310*$I310*(1-$G310))</f>
        <v>2565</v>
      </c>
      <c r="L310" s="41" t="n">
        <f aca="false">IF($A310="","",$F310*$J310)</f>
        <v>1860</v>
      </c>
      <c r="M310" s="41" t="n">
        <f aca="false">IF($A310="","",$K310-$L310)</f>
        <v>705</v>
      </c>
    </row>
    <row r="311" customFormat="false" ht="15" hidden="false" customHeight="false" outlineLevel="0" collapsed="false">
      <c r="A311" s="37" t="s">
        <v>410</v>
      </c>
      <c r="B311" s="38" t="n">
        <v>45931</v>
      </c>
      <c r="C311" s="37" t="s">
        <v>105</v>
      </c>
      <c r="D311" s="37" t="s">
        <v>106</v>
      </c>
      <c r="E311" s="37" t="s">
        <v>84</v>
      </c>
      <c r="F311" s="39" t="n">
        <v>141</v>
      </c>
      <c r="G311" s="40" t="n">
        <v>0.05</v>
      </c>
      <c r="H311" s="8" t="str">
        <f aca="false">IF($A311="","",IFERROR(INDEX(Products!$B$2:$B$50,MATCH($E311,Products!$A$2:$A$50,0)),"Unmapped"))</f>
        <v>Stationery</v>
      </c>
      <c r="I311" s="41" t="n">
        <f aca="false">IF($A311="","",IFERROR(INDEX(Products!$C$2:$C$50,MATCH($E311,Products!$A$2:$A$50,0)),0))</f>
        <v>350</v>
      </c>
      <c r="J311" s="41" t="n">
        <f aca="false">IF($A311="","",IFERROR(INDEX(Products!$D$2:$D$50,MATCH($E311,Products!$A$2:$A$50,0)),0))</f>
        <v>240</v>
      </c>
      <c r="K311" s="41" t="n">
        <f aca="false">IF($A311="","",$F311*$I311*(1-$G311))</f>
        <v>46882.5</v>
      </c>
      <c r="L311" s="41" t="n">
        <f aca="false">IF($A311="","",$F311*$J311)</f>
        <v>33840</v>
      </c>
      <c r="M311" s="41" t="n">
        <f aca="false">IF($A311="","",$K311-$L311)</f>
        <v>13042.5</v>
      </c>
    </row>
    <row r="312" customFormat="false" ht="15" hidden="false" customHeight="false" outlineLevel="0" collapsed="false">
      <c r="A312" s="37" t="s">
        <v>411</v>
      </c>
      <c r="B312" s="38" t="n">
        <v>45931</v>
      </c>
      <c r="C312" s="37" t="s">
        <v>88</v>
      </c>
      <c r="D312" s="37" t="s">
        <v>89</v>
      </c>
      <c r="E312" s="37" t="s">
        <v>134</v>
      </c>
      <c r="F312" s="39" t="n">
        <v>13</v>
      </c>
      <c r="G312" s="40" t="n">
        <v>0</v>
      </c>
      <c r="H312" s="8" t="str">
        <f aca="false">IF($A312="","",IFERROR(INDEX(Products!$B$2:$B$50,MATCH($E312,Products!$A$2:$A$50,0)),"Unmapped"))</f>
        <v>Furniture</v>
      </c>
      <c r="I312" s="41" t="n">
        <f aca="false">IF($A312="","",IFERROR(INDEX(Products!$C$2:$C$50,MATCH($E312,Products!$A$2:$A$50,0)),0))</f>
        <v>6100</v>
      </c>
      <c r="J312" s="41" t="n">
        <f aca="false">IF($A312="","",IFERROR(INDEX(Products!$D$2:$D$50,MATCH($E312,Products!$A$2:$A$50,0)),0))</f>
        <v>4500</v>
      </c>
      <c r="K312" s="41" t="n">
        <f aca="false">IF($A312="","",$F312*$I312*(1-$G312))</f>
        <v>79300</v>
      </c>
      <c r="L312" s="41" t="n">
        <f aca="false">IF($A312="","",$F312*$J312)</f>
        <v>58500</v>
      </c>
      <c r="M312" s="41" t="n">
        <f aca="false">IF($A312="","",$K312-$L312)</f>
        <v>20800</v>
      </c>
    </row>
    <row r="313" customFormat="false" ht="15" hidden="false" customHeight="false" outlineLevel="0" collapsed="false">
      <c r="A313" s="37" t="s">
        <v>412</v>
      </c>
      <c r="B313" s="38" t="n">
        <v>45931</v>
      </c>
      <c r="C313" s="37" t="s">
        <v>78</v>
      </c>
      <c r="D313" s="37" t="s">
        <v>79</v>
      </c>
      <c r="E313" s="37" t="s">
        <v>84</v>
      </c>
      <c r="F313" s="39" t="n">
        <v>178</v>
      </c>
      <c r="G313" s="40" t="n">
        <v>0.05</v>
      </c>
      <c r="H313" s="8" t="str">
        <f aca="false">IF($A313="","",IFERROR(INDEX(Products!$B$2:$B$50,MATCH($E313,Products!$A$2:$A$50,0)),"Unmapped"))</f>
        <v>Stationery</v>
      </c>
      <c r="I313" s="41" t="n">
        <f aca="false">IF($A313="","",IFERROR(INDEX(Products!$C$2:$C$50,MATCH($E313,Products!$A$2:$A$50,0)),0))</f>
        <v>350</v>
      </c>
      <c r="J313" s="41" t="n">
        <f aca="false">IF($A313="","",IFERROR(INDEX(Products!$D$2:$D$50,MATCH($E313,Products!$A$2:$A$50,0)),0))</f>
        <v>240</v>
      </c>
      <c r="K313" s="41" t="n">
        <f aca="false">IF($A313="","",$F313*$I313*(1-$G313))</f>
        <v>59185</v>
      </c>
      <c r="L313" s="41" t="n">
        <f aca="false">IF($A313="","",$F313*$J313)</f>
        <v>42720</v>
      </c>
      <c r="M313" s="41" t="n">
        <f aca="false">IF($A313="","",$K313-$L313)</f>
        <v>16465</v>
      </c>
    </row>
    <row r="314" customFormat="false" ht="15" hidden="false" customHeight="false" outlineLevel="0" collapsed="false">
      <c r="A314" s="37" t="s">
        <v>413</v>
      </c>
      <c r="B314" s="38" t="n">
        <v>45932</v>
      </c>
      <c r="C314" s="37" t="s">
        <v>105</v>
      </c>
      <c r="D314" s="37" t="s">
        <v>116</v>
      </c>
      <c r="E314" s="37" t="s">
        <v>90</v>
      </c>
      <c r="F314" s="39" t="n">
        <v>37</v>
      </c>
      <c r="G314" s="40" t="n">
        <v>0.1</v>
      </c>
      <c r="H314" s="8" t="str">
        <f aca="false">IF($A314="","",IFERROR(INDEX(Products!$B$2:$B$50,MATCH($E314,Products!$A$2:$A$50,0)),"Unmapped"))</f>
        <v>Stationery</v>
      </c>
      <c r="I314" s="41" t="n">
        <f aca="false">IF($A314="","",IFERROR(INDEX(Products!$C$2:$C$50,MATCH($E314,Products!$A$2:$A$50,0)),0))</f>
        <v>120</v>
      </c>
      <c r="J314" s="41" t="n">
        <f aca="false">IF($A314="","",IFERROR(INDEX(Products!$D$2:$D$50,MATCH($E314,Products!$A$2:$A$50,0)),0))</f>
        <v>80</v>
      </c>
      <c r="K314" s="41" t="n">
        <f aca="false">IF($A314="","",$F314*$I314*(1-$G314))</f>
        <v>3996</v>
      </c>
      <c r="L314" s="41" t="n">
        <f aca="false">IF($A314="","",$F314*$J314)</f>
        <v>2960</v>
      </c>
      <c r="M314" s="41" t="n">
        <f aca="false">IF($A314="","",$K314-$L314)</f>
        <v>1036</v>
      </c>
    </row>
    <row r="315" customFormat="false" ht="15" hidden="false" customHeight="false" outlineLevel="0" collapsed="false">
      <c r="A315" s="37" t="s">
        <v>414</v>
      </c>
      <c r="B315" s="38" t="n">
        <v>45932</v>
      </c>
      <c r="C315" s="37" t="s">
        <v>82</v>
      </c>
      <c r="D315" s="37" t="s">
        <v>83</v>
      </c>
      <c r="E315" s="37" t="s">
        <v>84</v>
      </c>
      <c r="F315" s="39" t="n">
        <v>141</v>
      </c>
      <c r="G315" s="40" t="n">
        <v>0.05</v>
      </c>
      <c r="H315" s="8" t="str">
        <f aca="false">IF($A315="","",IFERROR(INDEX(Products!$B$2:$B$50,MATCH($E315,Products!$A$2:$A$50,0)),"Unmapped"))</f>
        <v>Stationery</v>
      </c>
      <c r="I315" s="41" t="n">
        <f aca="false">IF($A315="","",IFERROR(INDEX(Products!$C$2:$C$50,MATCH($E315,Products!$A$2:$A$50,0)),0))</f>
        <v>350</v>
      </c>
      <c r="J315" s="41" t="n">
        <f aca="false">IF($A315="","",IFERROR(INDEX(Products!$D$2:$D$50,MATCH($E315,Products!$A$2:$A$50,0)),0))</f>
        <v>240</v>
      </c>
      <c r="K315" s="41" t="n">
        <f aca="false">IF($A315="","",$F315*$I315*(1-$G315))</f>
        <v>46882.5</v>
      </c>
      <c r="L315" s="41" t="n">
        <f aca="false">IF($A315="","",$F315*$J315)</f>
        <v>33840</v>
      </c>
      <c r="M315" s="41" t="n">
        <f aca="false">IF($A315="","",$K315-$L315)</f>
        <v>13042.5</v>
      </c>
    </row>
    <row r="316" customFormat="false" ht="15" hidden="false" customHeight="false" outlineLevel="0" collapsed="false">
      <c r="A316" s="37" t="s">
        <v>415</v>
      </c>
      <c r="B316" s="38" t="n">
        <v>45933</v>
      </c>
      <c r="C316" s="37" t="s">
        <v>82</v>
      </c>
      <c r="D316" s="37" t="s">
        <v>93</v>
      </c>
      <c r="E316" s="37" t="s">
        <v>94</v>
      </c>
      <c r="F316" s="39" t="n">
        <v>131</v>
      </c>
      <c r="G316" s="40" t="n">
        <v>0</v>
      </c>
      <c r="H316" s="8" t="str">
        <f aca="false">IF($A316="","",IFERROR(INDEX(Products!$B$2:$B$50,MATCH($E316,Products!$A$2:$A$50,0)),"Unmapped"))</f>
        <v>Stationery</v>
      </c>
      <c r="I316" s="41" t="n">
        <f aca="false">IF($A316="","",IFERROR(INDEX(Products!$C$2:$C$50,MATCH($E316,Products!$A$2:$A$50,0)),0))</f>
        <v>280</v>
      </c>
      <c r="J316" s="41" t="n">
        <f aca="false">IF($A316="","",IFERROR(INDEX(Products!$D$2:$D$50,MATCH($E316,Products!$A$2:$A$50,0)),0))</f>
        <v>210</v>
      </c>
      <c r="K316" s="41" t="n">
        <f aca="false">IF($A316="","",$F316*$I316*(1-$G316))</f>
        <v>36680</v>
      </c>
      <c r="L316" s="41" t="n">
        <f aca="false">IF($A316="","",$F316*$J316)</f>
        <v>27510</v>
      </c>
      <c r="M316" s="41" t="n">
        <f aca="false">IF($A316="","",$K316-$L316)</f>
        <v>9170</v>
      </c>
    </row>
    <row r="317" customFormat="false" ht="15" hidden="false" customHeight="false" outlineLevel="0" collapsed="false">
      <c r="A317" s="37" t="s">
        <v>416</v>
      </c>
      <c r="B317" s="38" t="n">
        <v>45934</v>
      </c>
      <c r="C317" s="37" t="s">
        <v>78</v>
      </c>
      <c r="D317" s="37" t="s">
        <v>86</v>
      </c>
      <c r="E317" s="37" t="s">
        <v>84</v>
      </c>
      <c r="F317" s="39" t="n">
        <v>108</v>
      </c>
      <c r="G317" s="40" t="n">
        <v>0.05</v>
      </c>
      <c r="H317" s="8" t="str">
        <f aca="false">IF($A317="","",IFERROR(INDEX(Products!$B$2:$B$50,MATCH($E317,Products!$A$2:$A$50,0)),"Unmapped"))</f>
        <v>Stationery</v>
      </c>
      <c r="I317" s="41" t="n">
        <f aca="false">IF($A317="","",IFERROR(INDEX(Products!$C$2:$C$50,MATCH($E317,Products!$A$2:$A$50,0)),0))</f>
        <v>350</v>
      </c>
      <c r="J317" s="41" t="n">
        <f aca="false">IF($A317="","",IFERROR(INDEX(Products!$D$2:$D$50,MATCH($E317,Products!$A$2:$A$50,0)),0))</f>
        <v>240</v>
      </c>
      <c r="K317" s="41" t="n">
        <f aca="false">IF($A317="","",$F317*$I317*(1-$G317))</f>
        <v>35910</v>
      </c>
      <c r="L317" s="41" t="n">
        <f aca="false">IF($A317="","",$F317*$J317)</f>
        <v>25920</v>
      </c>
      <c r="M317" s="41" t="n">
        <f aca="false">IF($A317="","",$K317-$L317)</f>
        <v>9990</v>
      </c>
    </row>
    <row r="318" customFormat="false" ht="15" hidden="false" customHeight="false" outlineLevel="0" collapsed="false">
      <c r="A318" s="37" t="s">
        <v>417</v>
      </c>
      <c r="B318" s="38" t="n">
        <v>45934</v>
      </c>
      <c r="C318" s="37" t="s">
        <v>78</v>
      </c>
      <c r="D318" s="37" t="s">
        <v>86</v>
      </c>
      <c r="E318" s="37" t="s">
        <v>94</v>
      </c>
      <c r="F318" s="39" t="n">
        <v>23</v>
      </c>
      <c r="G318" s="40" t="n">
        <v>0</v>
      </c>
      <c r="H318" s="8" t="str">
        <f aca="false">IF($A318="","",IFERROR(INDEX(Products!$B$2:$B$50,MATCH($E318,Products!$A$2:$A$50,0)),"Unmapped"))</f>
        <v>Stationery</v>
      </c>
      <c r="I318" s="41" t="n">
        <f aca="false">IF($A318="","",IFERROR(INDEX(Products!$C$2:$C$50,MATCH($E318,Products!$A$2:$A$50,0)),0))</f>
        <v>280</v>
      </c>
      <c r="J318" s="41" t="n">
        <f aca="false">IF($A318="","",IFERROR(INDEX(Products!$D$2:$D$50,MATCH($E318,Products!$A$2:$A$50,0)),0))</f>
        <v>210</v>
      </c>
      <c r="K318" s="41" t="n">
        <f aca="false">IF($A318="","",$F318*$I318*(1-$G318))</f>
        <v>6440</v>
      </c>
      <c r="L318" s="41" t="n">
        <f aca="false">IF($A318="","",$F318*$J318)</f>
        <v>4830</v>
      </c>
      <c r="M318" s="41" t="n">
        <f aca="false">IF($A318="","",$K318-$L318)</f>
        <v>1610</v>
      </c>
    </row>
    <row r="319" customFormat="false" ht="15" hidden="false" customHeight="false" outlineLevel="0" collapsed="false">
      <c r="A319" s="37" t="s">
        <v>418</v>
      </c>
      <c r="B319" s="38" t="n">
        <v>45934</v>
      </c>
      <c r="C319" s="37" t="s">
        <v>78</v>
      </c>
      <c r="D319" s="37" t="s">
        <v>86</v>
      </c>
      <c r="E319" s="37" t="s">
        <v>96</v>
      </c>
      <c r="F319" s="39" t="n">
        <v>6</v>
      </c>
      <c r="G319" s="40" t="n">
        <v>0.05</v>
      </c>
      <c r="H319" s="8" t="str">
        <f aca="false">IF($A319="","",IFERROR(INDEX(Products!$B$2:$B$50,MATCH($E319,Products!$A$2:$A$50,0)),"Unmapped"))</f>
        <v>Furniture</v>
      </c>
      <c r="I319" s="41" t="n">
        <f aca="false">IF($A319="","",IFERROR(INDEX(Products!$C$2:$C$50,MATCH($E319,Products!$A$2:$A$50,0)),0))</f>
        <v>4800</v>
      </c>
      <c r="J319" s="41" t="n">
        <f aca="false">IF($A319="","",IFERROR(INDEX(Products!$D$2:$D$50,MATCH($E319,Products!$A$2:$A$50,0)),0))</f>
        <v>3500</v>
      </c>
      <c r="K319" s="41" t="n">
        <f aca="false">IF($A319="","",$F319*$I319*(1-$G319))</f>
        <v>27360</v>
      </c>
      <c r="L319" s="41" t="n">
        <f aca="false">IF($A319="","",$F319*$J319)</f>
        <v>21000</v>
      </c>
      <c r="M319" s="41" t="n">
        <f aca="false">IF($A319="","",$K319-$L319)</f>
        <v>6360</v>
      </c>
    </row>
    <row r="320" customFormat="false" ht="15" hidden="false" customHeight="false" outlineLevel="0" collapsed="false">
      <c r="A320" s="37" t="s">
        <v>419</v>
      </c>
      <c r="B320" s="38" t="n">
        <v>45935</v>
      </c>
      <c r="C320" s="37" t="s">
        <v>88</v>
      </c>
      <c r="D320" s="37" t="s">
        <v>89</v>
      </c>
      <c r="E320" s="37" t="s">
        <v>94</v>
      </c>
      <c r="F320" s="39" t="n">
        <v>23</v>
      </c>
      <c r="G320" s="40" t="n">
        <v>0.05</v>
      </c>
      <c r="H320" s="8" t="str">
        <f aca="false">IF($A320="","",IFERROR(INDEX(Products!$B$2:$B$50,MATCH($E320,Products!$A$2:$A$50,0)),"Unmapped"))</f>
        <v>Stationery</v>
      </c>
      <c r="I320" s="41" t="n">
        <f aca="false">IF($A320="","",IFERROR(INDEX(Products!$C$2:$C$50,MATCH($E320,Products!$A$2:$A$50,0)),0))</f>
        <v>280</v>
      </c>
      <c r="J320" s="41" t="n">
        <f aca="false">IF($A320="","",IFERROR(INDEX(Products!$D$2:$D$50,MATCH($E320,Products!$A$2:$A$50,0)),0))</f>
        <v>210</v>
      </c>
      <c r="K320" s="41" t="n">
        <f aca="false">IF($A320="","",$F320*$I320*(1-$G320))</f>
        <v>6118</v>
      </c>
      <c r="L320" s="41" t="n">
        <f aca="false">IF($A320="","",$F320*$J320)</f>
        <v>4830</v>
      </c>
      <c r="M320" s="41" t="n">
        <f aca="false">IF($A320="","",$K320-$L320)</f>
        <v>1288</v>
      </c>
    </row>
    <row r="321" customFormat="false" ht="15" hidden="false" customHeight="false" outlineLevel="0" collapsed="false">
      <c r="A321" s="37" t="s">
        <v>420</v>
      </c>
      <c r="B321" s="38" t="n">
        <v>45936</v>
      </c>
      <c r="C321" s="37" t="s">
        <v>105</v>
      </c>
      <c r="D321" s="37" t="s">
        <v>106</v>
      </c>
      <c r="E321" s="37" t="s">
        <v>107</v>
      </c>
      <c r="F321" s="39" t="n">
        <v>9</v>
      </c>
      <c r="G321" s="40" t="n">
        <v>0</v>
      </c>
      <c r="H321" s="8" t="str">
        <f aca="false">IF($A321="","",IFERROR(INDEX(Products!$B$2:$B$50,MATCH($E321,Products!$A$2:$A$50,0)),"Unmapped"))</f>
        <v>Furniture</v>
      </c>
      <c r="I321" s="41" t="n">
        <f aca="false">IF($A321="","",IFERROR(INDEX(Products!$C$2:$C$50,MATCH($E321,Products!$A$2:$A$50,0)),0))</f>
        <v>7200</v>
      </c>
      <c r="J321" s="41" t="n">
        <f aca="false">IF($A321="","",IFERROR(INDEX(Products!$D$2:$D$50,MATCH($E321,Products!$A$2:$A$50,0)),0))</f>
        <v>5400</v>
      </c>
      <c r="K321" s="41" t="n">
        <f aca="false">IF($A321="","",$F321*$I321*(1-$G321))</f>
        <v>64800</v>
      </c>
      <c r="L321" s="41" t="n">
        <f aca="false">IF($A321="","",$F321*$J321)</f>
        <v>48600</v>
      </c>
      <c r="M321" s="41" t="n">
        <f aca="false">IF($A321="","",$K321-$L321)</f>
        <v>16200</v>
      </c>
    </row>
    <row r="322" customFormat="false" ht="15" hidden="false" customHeight="false" outlineLevel="0" collapsed="false">
      <c r="A322" s="37" t="s">
        <v>421</v>
      </c>
      <c r="B322" s="38" t="n">
        <v>45937</v>
      </c>
      <c r="C322" s="37" t="s">
        <v>78</v>
      </c>
      <c r="D322" s="37" t="s">
        <v>86</v>
      </c>
      <c r="E322" s="37" t="s">
        <v>134</v>
      </c>
      <c r="F322" s="39" t="n">
        <v>13</v>
      </c>
      <c r="G322" s="40" t="n">
        <v>0.1</v>
      </c>
      <c r="H322" s="8" t="str">
        <f aca="false">IF($A322="","",IFERROR(INDEX(Products!$B$2:$B$50,MATCH($E322,Products!$A$2:$A$50,0)),"Unmapped"))</f>
        <v>Furniture</v>
      </c>
      <c r="I322" s="41" t="n">
        <f aca="false">IF($A322="","",IFERROR(INDEX(Products!$C$2:$C$50,MATCH($E322,Products!$A$2:$A$50,0)),0))</f>
        <v>6100</v>
      </c>
      <c r="J322" s="41" t="n">
        <f aca="false">IF($A322="","",IFERROR(INDEX(Products!$D$2:$D$50,MATCH($E322,Products!$A$2:$A$50,0)),0))</f>
        <v>4500</v>
      </c>
      <c r="K322" s="41" t="n">
        <f aca="false">IF($A322="","",$F322*$I322*(1-$G322))</f>
        <v>71370</v>
      </c>
      <c r="L322" s="41" t="n">
        <f aca="false">IF($A322="","",$F322*$J322)</f>
        <v>58500</v>
      </c>
      <c r="M322" s="41" t="n">
        <f aca="false">IF($A322="","",$K322-$L322)</f>
        <v>12870</v>
      </c>
    </row>
    <row r="323" customFormat="false" ht="15" hidden="false" customHeight="false" outlineLevel="0" collapsed="false">
      <c r="A323" s="37" t="s">
        <v>422</v>
      </c>
      <c r="B323" s="38" t="n">
        <v>45938</v>
      </c>
      <c r="C323" s="37" t="s">
        <v>78</v>
      </c>
      <c r="D323" s="37" t="s">
        <v>79</v>
      </c>
      <c r="E323" s="37" t="s">
        <v>114</v>
      </c>
      <c r="F323" s="39" t="n">
        <v>10</v>
      </c>
      <c r="G323" s="40" t="n">
        <v>0</v>
      </c>
      <c r="H323" s="8" t="str">
        <f aca="false">IF($A323="","",IFERROR(INDEX(Products!$B$2:$B$50,MATCH($E323,Products!$A$2:$A$50,0)),"Unmapped"))</f>
        <v>Pantry</v>
      </c>
      <c r="I323" s="41" t="n">
        <f aca="false">IF($A323="","",IFERROR(INDEX(Products!$C$2:$C$50,MATCH($E323,Products!$A$2:$A$50,0)),0))</f>
        <v>1500</v>
      </c>
      <c r="J323" s="41" t="n">
        <f aca="false">IF($A323="","",IFERROR(INDEX(Products!$D$2:$D$50,MATCH($E323,Products!$A$2:$A$50,0)),0))</f>
        <v>1100</v>
      </c>
      <c r="K323" s="41" t="n">
        <f aca="false">IF($A323="","",$F323*$I323*(1-$G323))</f>
        <v>15000</v>
      </c>
      <c r="L323" s="41" t="n">
        <f aca="false">IF($A323="","",$F323*$J323)</f>
        <v>11000</v>
      </c>
      <c r="M323" s="41" t="n">
        <f aca="false">IF($A323="","",$K323-$L323)</f>
        <v>4000</v>
      </c>
    </row>
    <row r="324" customFormat="false" ht="15" hidden="false" customHeight="false" outlineLevel="0" collapsed="false">
      <c r="A324" s="37" t="s">
        <v>423</v>
      </c>
      <c r="B324" s="38" t="n">
        <v>45938</v>
      </c>
      <c r="C324" s="37" t="s">
        <v>105</v>
      </c>
      <c r="D324" s="37" t="s">
        <v>116</v>
      </c>
      <c r="E324" s="37" t="s">
        <v>103</v>
      </c>
      <c r="F324" s="39" t="n">
        <v>27</v>
      </c>
      <c r="G324" s="40" t="n">
        <v>0.05</v>
      </c>
      <c r="H324" s="8" t="str">
        <f aca="false">IF($A324="","",IFERROR(INDEX(Products!$B$2:$B$50,MATCH($E324,Products!$A$2:$A$50,0)),"Unmapped"))</f>
        <v>Electronics</v>
      </c>
      <c r="I324" s="41" t="n">
        <f aca="false">IF($A324="","",IFERROR(INDEX(Products!$C$2:$C$50,MATCH($E324,Products!$A$2:$A$50,0)),0))</f>
        <v>900</v>
      </c>
      <c r="J324" s="41" t="n">
        <f aca="false">IF($A324="","",IFERROR(INDEX(Products!$D$2:$D$50,MATCH($E324,Products!$A$2:$A$50,0)),0))</f>
        <v>620</v>
      </c>
      <c r="K324" s="41" t="n">
        <f aca="false">IF($A324="","",$F324*$I324*(1-$G324))</f>
        <v>23085</v>
      </c>
      <c r="L324" s="41" t="n">
        <f aca="false">IF($A324="","",$F324*$J324)</f>
        <v>16740</v>
      </c>
      <c r="M324" s="41" t="n">
        <f aca="false">IF($A324="","",$K324-$L324)</f>
        <v>6345</v>
      </c>
    </row>
    <row r="325" customFormat="false" ht="15" hidden="false" customHeight="false" outlineLevel="0" collapsed="false">
      <c r="A325" s="37" t="s">
        <v>424</v>
      </c>
      <c r="B325" s="38" t="n">
        <v>45938</v>
      </c>
      <c r="C325" s="37" t="s">
        <v>82</v>
      </c>
      <c r="D325" s="37" t="s">
        <v>93</v>
      </c>
      <c r="E325" s="37" t="s">
        <v>96</v>
      </c>
      <c r="F325" s="39" t="n">
        <v>11</v>
      </c>
      <c r="G325" s="40" t="n">
        <v>0.05</v>
      </c>
      <c r="H325" s="8" t="str">
        <f aca="false">IF($A325="","",IFERROR(INDEX(Products!$B$2:$B$50,MATCH($E325,Products!$A$2:$A$50,0)),"Unmapped"))</f>
        <v>Furniture</v>
      </c>
      <c r="I325" s="41" t="n">
        <f aca="false">IF($A325="","",IFERROR(INDEX(Products!$C$2:$C$50,MATCH($E325,Products!$A$2:$A$50,0)),0))</f>
        <v>4800</v>
      </c>
      <c r="J325" s="41" t="n">
        <f aca="false">IF($A325="","",IFERROR(INDEX(Products!$D$2:$D$50,MATCH($E325,Products!$A$2:$A$50,0)),0))</f>
        <v>3500</v>
      </c>
      <c r="K325" s="41" t="n">
        <f aca="false">IF($A325="","",$F325*$I325*(1-$G325))</f>
        <v>50160</v>
      </c>
      <c r="L325" s="41" t="n">
        <f aca="false">IF($A325="","",$F325*$J325)</f>
        <v>38500</v>
      </c>
      <c r="M325" s="41" t="n">
        <f aca="false">IF($A325="","",$K325-$L325)</f>
        <v>11660</v>
      </c>
    </row>
    <row r="326" customFormat="false" ht="15" hidden="false" customHeight="false" outlineLevel="0" collapsed="false">
      <c r="A326" s="37" t="s">
        <v>425</v>
      </c>
      <c r="B326" s="38" t="n">
        <v>45938</v>
      </c>
      <c r="C326" s="37" t="s">
        <v>105</v>
      </c>
      <c r="D326" s="37" t="s">
        <v>106</v>
      </c>
      <c r="E326" s="37" t="s">
        <v>90</v>
      </c>
      <c r="F326" s="39" t="n">
        <v>81</v>
      </c>
      <c r="G326" s="40" t="n">
        <v>0</v>
      </c>
      <c r="H326" s="8" t="str">
        <f aca="false">IF($A326="","",IFERROR(INDEX(Products!$B$2:$B$50,MATCH($E326,Products!$A$2:$A$50,0)),"Unmapped"))</f>
        <v>Stationery</v>
      </c>
      <c r="I326" s="41" t="n">
        <f aca="false">IF($A326="","",IFERROR(INDEX(Products!$C$2:$C$50,MATCH($E326,Products!$A$2:$A$50,0)),0))</f>
        <v>120</v>
      </c>
      <c r="J326" s="41" t="n">
        <f aca="false">IF($A326="","",IFERROR(INDEX(Products!$D$2:$D$50,MATCH($E326,Products!$A$2:$A$50,0)),0))</f>
        <v>80</v>
      </c>
      <c r="K326" s="41" t="n">
        <f aca="false">IF($A326="","",$F326*$I326*(1-$G326))</f>
        <v>9720</v>
      </c>
      <c r="L326" s="41" t="n">
        <f aca="false">IF($A326="","",$F326*$J326)</f>
        <v>6480</v>
      </c>
      <c r="M326" s="41" t="n">
        <f aca="false">IF($A326="","",$K326-$L326)</f>
        <v>3240</v>
      </c>
    </row>
    <row r="327" customFormat="false" ht="15" hidden="false" customHeight="false" outlineLevel="0" collapsed="false">
      <c r="A327" s="37" t="s">
        <v>426</v>
      </c>
      <c r="B327" s="38" t="n">
        <v>45940</v>
      </c>
      <c r="C327" s="37" t="s">
        <v>78</v>
      </c>
      <c r="D327" s="37" t="s">
        <v>86</v>
      </c>
      <c r="E327" s="37" t="s">
        <v>107</v>
      </c>
      <c r="F327" s="39" t="n">
        <v>7</v>
      </c>
      <c r="G327" s="40" t="n">
        <v>0</v>
      </c>
      <c r="H327" s="8" t="str">
        <f aca="false">IF($A327="","",IFERROR(INDEX(Products!$B$2:$B$50,MATCH($E327,Products!$A$2:$A$50,0)),"Unmapped"))</f>
        <v>Furniture</v>
      </c>
      <c r="I327" s="41" t="n">
        <f aca="false">IF($A327="","",IFERROR(INDEX(Products!$C$2:$C$50,MATCH($E327,Products!$A$2:$A$50,0)),0))</f>
        <v>7200</v>
      </c>
      <c r="J327" s="41" t="n">
        <f aca="false">IF($A327="","",IFERROR(INDEX(Products!$D$2:$D$50,MATCH($E327,Products!$A$2:$A$50,0)),0))</f>
        <v>5400</v>
      </c>
      <c r="K327" s="41" t="n">
        <f aca="false">IF($A327="","",$F327*$I327*(1-$G327))</f>
        <v>50400</v>
      </c>
      <c r="L327" s="41" t="n">
        <f aca="false">IF($A327="","",$F327*$J327)</f>
        <v>37800</v>
      </c>
      <c r="M327" s="41" t="n">
        <f aca="false">IF($A327="","",$K327-$L327)</f>
        <v>12600</v>
      </c>
    </row>
    <row r="328" customFormat="false" ht="15" hidden="false" customHeight="false" outlineLevel="0" collapsed="false">
      <c r="A328" s="37" t="s">
        <v>427</v>
      </c>
      <c r="B328" s="38" t="n">
        <v>45940</v>
      </c>
      <c r="C328" s="37" t="s">
        <v>82</v>
      </c>
      <c r="D328" s="37" t="s">
        <v>83</v>
      </c>
      <c r="E328" s="37" t="s">
        <v>94</v>
      </c>
      <c r="F328" s="39" t="n">
        <v>125</v>
      </c>
      <c r="G328" s="40" t="n">
        <v>0.15</v>
      </c>
      <c r="H328" s="8" t="str">
        <f aca="false">IF($A328="","",IFERROR(INDEX(Products!$B$2:$B$50,MATCH($E328,Products!$A$2:$A$50,0)),"Unmapped"))</f>
        <v>Stationery</v>
      </c>
      <c r="I328" s="41" t="n">
        <f aca="false">IF($A328="","",IFERROR(INDEX(Products!$C$2:$C$50,MATCH($E328,Products!$A$2:$A$50,0)),0))</f>
        <v>280</v>
      </c>
      <c r="J328" s="41" t="n">
        <f aca="false">IF($A328="","",IFERROR(INDEX(Products!$D$2:$D$50,MATCH($E328,Products!$A$2:$A$50,0)),0))</f>
        <v>210</v>
      </c>
      <c r="K328" s="41" t="n">
        <f aca="false">IF($A328="","",$F328*$I328*(1-$G328))</f>
        <v>29750</v>
      </c>
      <c r="L328" s="41" t="n">
        <f aca="false">IF($A328="","",$F328*$J328)</f>
        <v>26250</v>
      </c>
      <c r="M328" s="41" t="n">
        <f aca="false">IF($A328="","",$K328-$L328)</f>
        <v>3500</v>
      </c>
    </row>
    <row r="329" customFormat="false" ht="15" hidden="false" customHeight="false" outlineLevel="0" collapsed="false">
      <c r="A329" s="37" t="s">
        <v>428</v>
      </c>
      <c r="B329" s="38" t="n">
        <v>45940</v>
      </c>
      <c r="C329" s="37" t="s">
        <v>88</v>
      </c>
      <c r="D329" s="37" t="s">
        <v>111</v>
      </c>
      <c r="E329" s="37" t="s">
        <v>107</v>
      </c>
      <c r="F329" s="39" t="n">
        <v>2</v>
      </c>
      <c r="G329" s="40" t="n">
        <v>0</v>
      </c>
      <c r="H329" s="8" t="str">
        <f aca="false">IF($A329="","",IFERROR(INDEX(Products!$B$2:$B$50,MATCH($E329,Products!$A$2:$A$50,0)),"Unmapped"))</f>
        <v>Furniture</v>
      </c>
      <c r="I329" s="41" t="n">
        <f aca="false">IF($A329="","",IFERROR(INDEX(Products!$C$2:$C$50,MATCH($E329,Products!$A$2:$A$50,0)),0))</f>
        <v>7200</v>
      </c>
      <c r="J329" s="41" t="n">
        <f aca="false">IF($A329="","",IFERROR(INDEX(Products!$D$2:$D$50,MATCH($E329,Products!$A$2:$A$50,0)),0))</f>
        <v>5400</v>
      </c>
      <c r="K329" s="41" t="n">
        <f aca="false">IF($A329="","",$F329*$I329*(1-$G329))</f>
        <v>14400</v>
      </c>
      <c r="L329" s="41" t="n">
        <f aca="false">IF($A329="","",$F329*$J329)</f>
        <v>10800</v>
      </c>
      <c r="M329" s="41" t="n">
        <f aca="false">IF($A329="","",$K329-$L329)</f>
        <v>3600</v>
      </c>
    </row>
    <row r="330" customFormat="false" ht="15" hidden="false" customHeight="false" outlineLevel="0" collapsed="false">
      <c r="A330" s="37" t="s">
        <v>429</v>
      </c>
      <c r="B330" s="38" t="n">
        <v>45941</v>
      </c>
      <c r="C330" s="37" t="s">
        <v>82</v>
      </c>
      <c r="D330" s="37" t="s">
        <v>83</v>
      </c>
      <c r="E330" s="37" t="s">
        <v>84</v>
      </c>
      <c r="F330" s="39" t="n">
        <v>167</v>
      </c>
      <c r="G330" s="40" t="n">
        <v>0</v>
      </c>
      <c r="H330" s="8" t="str">
        <f aca="false">IF($A330="","",IFERROR(INDEX(Products!$B$2:$B$50,MATCH($E330,Products!$A$2:$A$50,0)),"Unmapped"))</f>
        <v>Stationery</v>
      </c>
      <c r="I330" s="41" t="n">
        <f aca="false">IF($A330="","",IFERROR(INDEX(Products!$C$2:$C$50,MATCH($E330,Products!$A$2:$A$50,0)),0))</f>
        <v>350</v>
      </c>
      <c r="J330" s="41" t="n">
        <f aca="false">IF($A330="","",IFERROR(INDEX(Products!$D$2:$D$50,MATCH($E330,Products!$A$2:$A$50,0)),0))</f>
        <v>240</v>
      </c>
      <c r="K330" s="41" t="n">
        <f aca="false">IF($A330="","",$F330*$I330*(1-$G330))</f>
        <v>58450</v>
      </c>
      <c r="L330" s="41" t="n">
        <f aca="false">IF($A330="","",$F330*$J330)</f>
        <v>40080</v>
      </c>
      <c r="M330" s="41" t="n">
        <f aca="false">IF($A330="","",$K330-$L330)</f>
        <v>18370</v>
      </c>
    </row>
    <row r="331" customFormat="false" ht="15" hidden="false" customHeight="false" outlineLevel="0" collapsed="false">
      <c r="A331" s="37" t="s">
        <v>430</v>
      </c>
      <c r="B331" s="38" t="n">
        <v>45941</v>
      </c>
      <c r="C331" s="37" t="s">
        <v>82</v>
      </c>
      <c r="D331" s="37" t="s">
        <v>93</v>
      </c>
      <c r="E331" s="37" t="s">
        <v>134</v>
      </c>
      <c r="F331" s="39" t="n">
        <v>4</v>
      </c>
      <c r="G331" s="40" t="n">
        <v>0.05</v>
      </c>
      <c r="H331" s="8" t="str">
        <f aca="false">IF($A331="","",IFERROR(INDEX(Products!$B$2:$B$50,MATCH($E331,Products!$A$2:$A$50,0)),"Unmapped"))</f>
        <v>Furniture</v>
      </c>
      <c r="I331" s="41" t="n">
        <f aca="false">IF($A331="","",IFERROR(INDEX(Products!$C$2:$C$50,MATCH($E331,Products!$A$2:$A$50,0)),0))</f>
        <v>6100</v>
      </c>
      <c r="J331" s="41" t="n">
        <f aca="false">IF($A331="","",IFERROR(INDEX(Products!$D$2:$D$50,MATCH($E331,Products!$A$2:$A$50,0)),0))</f>
        <v>4500</v>
      </c>
      <c r="K331" s="41" t="n">
        <f aca="false">IF($A331="","",$F331*$I331*(1-$G331))</f>
        <v>23180</v>
      </c>
      <c r="L331" s="41" t="n">
        <f aca="false">IF($A331="","",$F331*$J331)</f>
        <v>18000</v>
      </c>
      <c r="M331" s="41" t="n">
        <f aca="false">IF($A331="","",$K331-$L331)</f>
        <v>5180</v>
      </c>
    </row>
    <row r="332" customFormat="false" ht="15" hidden="false" customHeight="false" outlineLevel="0" collapsed="false">
      <c r="A332" s="37" t="s">
        <v>431</v>
      </c>
      <c r="B332" s="38" t="n">
        <v>45941</v>
      </c>
      <c r="C332" s="37" t="s">
        <v>82</v>
      </c>
      <c r="D332" s="37" t="s">
        <v>93</v>
      </c>
      <c r="E332" s="37" t="s">
        <v>90</v>
      </c>
      <c r="F332" s="39" t="n">
        <v>84</v>
      </c>
      <c r="G332" s="40" t="n">
        <v>0</v>
      </c>
      <c r="H332" s="8" t="str">
        <f aca="false">IF($A332="","",IFERROR(INDEX(Products!$B$2:$B$50,MATCH($E332,Products!$A$2:$A$50,0)),"Unmapped"))</f>
        <v>Stationery</v>
      </c>
      <c r="I332" s="41" t="n">
        <f aca="false">IF($A332="","",IFERROR(INDEX(Products!$C$2:$C$50,MATCH($E332,Products!$A$2:$A$50,0)),0))</f>
        <v>120</v>
      </c>
      <c r="J332" s="41" t="n">
        <f aca="false">IF($A332="","",IFERROR(INDEX(Products!$D$2:$D$50,MATCH($E332,Products!$A$2:$A$50,0)),0))</f>
        <v>80</v>
      </c>
      <c r="K332" s="41" t="n">
        <f aca="false">IF($A332="","",$F332*$I332*(1-$G332))</f>
        <v>10080</v>
      </c>
      <c r="L332" s="41" t="n">
        <f aca="false">IF($A332="","",$F332*$J332)</f>
        <v>6720</v>
      </c>
      <c r="M332" s="41" t="n">
        <f aca="false">IF($A332="","",$K332-$L332)</f>
        <v>3360</v>
      </c>
    </row>
    <row r="333" customFormat="false" ht="15" hidden="false" customHeight="false" outlineLevel="0" collapsed="false">
      <c r="A333" s="37" t="s">
        <v>432</v>
      </c>
      <c r="B333" s="38" t="n">
        <v>45941</v>
      </c>
      <c r="C333" s="37" t="s">
        <v>78</v>
      </c>
      <c r="D333" s="37" t="s">
        <v>86</v>
      </c>
      <c r="E333" s="37" t="s">
        <v>90</v>
      </c>
      <c r="F333" s="39" t="n">
        <v>143</v>
      </c>
      <c r="G333" s="40" t="n">
        <v>0</v>
      </c>
      <c r="H333" s="8" t="str">
        <f aca="false">IF($A333="","",IFERROR(INDEX(Products!$B$2:$B$50,MATCH($E333,Products!$A$2:$A$50,0)),"Unmapped"))</f>
        <v>Stationery</v>
      </c>
      <c r="I333" s="41" t="n">
        <f aca="false">IF($A333="","",IFERROR(INDEX(Products!$C$2:$C$50,MATCH($E333,Products!$A$2:$A$50,0)),0))</f>
        <v>120</v>
      </c>
      <c r="J333" s="41" t="n">
        <f aca="false">IF($A333="","",IFERROR(INDEX(Products!$D$2:$D$50,MATCH($E333,Products!$A$2:$A$50,0)),0))</f>
        <v>80</v>
      </c>
      <c r="K333" s="41" t="n">
        <f aca="false">IF($A333="","",$F333*$I333*(1-$G333))</f>
        <v>17160</v>
      </c>
      <c r="L333" s="41" t="n">
        <f aca="false">IF($A333="","",$F333*$J333)</f>
        <v>11440</v>
      </c>
      <c r="M333" s="41" t="n">
        <f aca="false">IF($A333="","",$K333-$L333)</f>
        <v>5720</v>
      </c>
    </row>
    <row r="334" customFormat="false" ht="15" hidden="false" customHeight="false" outlineLevel="0" collapsed="false">
      <c r="A334" s="37" t="s">
        <v>433</v>
      </c>
      <c r="B334" s="38" t="n">
        <v>45941</v>
      </c>
      <c r="C334" s="37" t="s">
        <v>82</v>
      </c>
      <c r="D334" s="37" t="s">
        <v>93</v>
      </c>
      <c r="E334" s="37" t="s">
        <v>90</v>
      </c>
      <c r="F334" s="39" t="n">
        <v>166</v>
      </c>
      <c r="G334" s="40" t="n">
        <v>0.05</v>
      </c>
      <c r="H334" s="8" t="str">
        <f aca="false">IF($A334="","",IFERROR(INDEX(Products!$B$2:$B$50,MATCH($E334,Products!$A$2:$A$50,0)),"Unmapped"))</f>
        <v>Stationery</v>
      </c>
      <c r="I334" s="41" t="n">
        <f aca="false">IF($A334="","",IFERROR(INDEX(Products!$C$2:$C$50,MATCH($E334,Products!$A$2:$A$50,0)),0))</f>
        <v>120</v>
      </c>
      <c r="J334" s="41" t="n">
        <f aca="false">IF($A334="","",IFERROR(INDEX(Products!$D$2:$D$50,MATCH($E334,Products!$A$2:$A$50,0)),0))</f>
        <v>80</v>
      </c>
      <c r="K334" s="41" t="n">
        <f aca="false">IF($A334="","",$F334*$I334*(1-$G334))</f>
        <v>18924</v>
      </c>
      <c r="L334" s="41" t="n">
        <f aca="false">IF($A334="","",$F334*$J334)</f>
        <v>13280</v>
      </c>
      <c r="M334" s="41" t="n">
        <f aca="false">IF($A334="","",$K334-$L334)</f>
        <v>5644</v>
      </c>
    </row>
    <row r="335" customFormat="false" ht="15" hidden="false" customHeight="false" outlineLevel="0" collapsed="false">
      <c r="A335" s="37" t="s">
        <v>434</v>
      </c>
      <c r="B335" s="38" t="n">
        <v>45941</v>
      </c>
      <c r="C335" s="37" t="s">
        <v>82</v>
      </c>
      <c r="D335" s="37" t="s">
        <v>83</v>
      </c>
      <c r="E335" s="37" t="s">
        <v>94</v>
      </c>
      <c r="F335" s="39" t="n">
        <v>71</v>
      </c>
      <c r="G335" s="40" t="n">
        <v>0</v>
      </c>
      <c r="H335" s="8" t="str">
        <f aca="false">IF($A335="","",IFERROR(INDEX(Products!$B$2:$B$50,MATCH($E335,Products!$A$2:$A$50,0)),"Unmapped"))</f>
        <v>Stationery</v>
      </c>
      <c r="I335" s="41" t="n">
        <f aca="false">IF($A335="","",IFERROR(INDEX(Products!$C$2:$C$50,MATCH($E335,Products!$A$2:$A$50,0)),0))</f>
        <v>280</v>
      </c>
      <c r="J335" s="41" t="n">
        <f aca="false">IF($A335="","",IFERROR(INDEX(Products!$D$2:$D$50,MATCH($E335,Products!$A$2:$A$50,0)),0))</f>
        <v>210</v>
      </c>
      <c r="K335" s="41" t="n">
        <f aca="false">IF($A335="","",$F335*$I335*(1-$G335))</f>
        <v>19880</v>
      </c>
      <c r="L335" s="41" t="n">
        <f aca="false">IF($A335="","",$F335*$J335)</f>
        <v>14910</v>
      </c>
      <c r="M335" s="41" t="n">
        <f aca="false">IF($A335="","",$K335-$L335)</f>
        <v>4970</v>
      </c>
    </row>
    <row r="336" customFormat="false" ht="15" hidden="false" customHeight="false" outlineLevel="0" collapsed="false">
      <c r="A336" s="37" t="s">
        <v>435</v>
      </c>
      <c r="B336" s="38" t="n">
        <v>45942</v>
      </c>
      <c r="C336" s="37" t="s">
        <v>78</v>
      </c>
      <c r="D336" s="37" t="s">
        <v>86</v>
      </c>
      <c r="E336" s="37" t="s">
        <v>90</v>
      </c>
      <c r="F336" s="39" t="n">
        <v>170</v>
      </c>
      <c r="G336" s="40" t="n">
        <v>0.05</v>
      </c>
      <c r="H336" s="8" t="str">
        <f aca="false">IF($A336="","",IFERROR(INDEX(Products!$B$2:$B$50,MATCH($E336,Products!$A$2:$A$50,0)),"Unmapped"))</f>
        <v>Stationery</v>
      </c>
      <c r="I336" s="41" t="n">
        <f aca="false">IF($A336="","",IFERROR(INDEX(Products!$C$2:$C$50,MATCH($E336,Products!$A$2:$A$50,0)),0))</f>
        <v>120</v>
      </c>
      <c r="J336" s="41" t="n">
        <f aca="false">IF($A336="","",IFERROR(INDEX(Products!$D$2:$D$50,MATCH($E336,Products!$A$2:$A$50,0)),0))</f>
        <v>80</v>
      </c>
      <c r="K336" s="41" t="n">
        <f aca="false">IF($A336="","",$F336*$I336*(1-$G336))</f>
        <v>19380</v>
      </c>
      <c r="L336" s="41" t="n">
        <f aca="false">IF($A336="","",$F336*$J336)</f>
        <v>13600</v>
      </c>
      <c r="M336" s="41" t="n">
        <f aca="false">IF($A336="","",$K336-$L336)</f>
        <v>5780</v>
      </c>
    </row>
    <row r="337" customFormat="false" ht="15" hidden="false" customHeight="false" outlineLevel="0" collapsed="false">
      <c r="A337" s="37" t="s">
        <v>436</v>
      </c>
      <c r="B337" s="38" t="n">
        <v>45942</v>
      </c>
      <c r="C337" s="37" t="s">
        <v>105</v>
      </c>
      <c r="D337" s="37" t="s">
        <v>116</v>
      </c>
      <c r="E337" s="37" t="s">
        <v>174</v>
      </c>
      <c r="F337" s="39" t="n">
        <v>10</v>
      </c>
      <c r="G337" s="40" t="n">
        <v>0</v>
      </c>
      <c r="H337" s="8" t="str">
        <f aca="false">IF($A337="","",IFERROR(INDEX(Products!$B$2:$B$50,MATCH($E337,Products!$A$2:$A$50,0)),"Unmapped"))</f>
        <v>Electronics</v>
      </c>
      <c r="I337" s="41" t="n">
        <f aca="false">IF($A337="","",IFERROR(INDEX(Products!$C$2:$C$50,MATCH($E337,Products!$A$2:$A$50,0)),0))</f>
        <v>9800</v>
      </c>
      <c r="J337" s="41" t="n">
        <f aca="false">IF($A337="","",IFERROR(INDEX(Products!$D$2:$D$50,MATCH($E337,Products!$A$2:$A$50,0)),0))</f>
        <v>7600</v>
      </c>
      <c r="K337" s="41" t="n">
        <f aca="false">IF($A337="","",$F337*$I337*(1-$G337))</f>
        <v>98000</v>
      </c>
      <c r="L337" s="41" t="n">
        <f aca="false">IF($A337="","",$F337*$J337)</f>
        <v>76000</v>
      </c>
      <c r="M337" s="41" t="n">
        <f aca="false">IF($A337="","",$K337-$L337)</f>
        <v>22000</v>
      </c>
    </row>
    <row r="338" customFormat="false" ht="15" hidden="false" customHeight="false" outlineLevel="0" collapsed="false">
      <c r="A338" s="37" t="s">
        <v>437</v>
      </c>
      <c r="B338" s="38" t="n">
        <v>45943</v>
      </c>
      <c r="C338" s="37" t="s">
        <v>78</v>
      </c>
      <c r="D338" s="37" t="s">
        <v>86</v>
      </c>
      <c r="E338" s="37" t="s">
        <v>84</v>
      </c>
      <c r="F338" s="39" t="n">
        <v>116</v>
      </c>
      <c r="G338" s="40" t="n">
        <v>0.05</v>
      </c>
      <c r="H338" s="8" t="str">
        <f aca="false">IF($A338="","",IFERROR(INDEX(Products!$B$2:$B$50,MATCH($E338,Products!$A$2:$A$50,0)),"Unmapped"))</f>
        <v>Stationery</v>
      </c>
      <c r="I338" s="41" t="n">
        <f aca="false">IF($A338="","",IFERROR(INDEX(Products!$C$2:$C$50,MATCH($E338,Products!$A$2:$A$50,0)),0))</f>
        <v>350</v>
      </c>
      <c r="J338" s="41" t="n">
        <f aca="false">IF($A338="","",IFERROR(INDEX(Products!$D$2:$D$50,MATCH($E338,Products!$A$2:$A$50,0)),0))</f>
        <v>240</v>
      </c>
      <c r="K338" s="41" t="n">
        <f aca="false">IF($A338="","",$F338*$I338*(1-$G338))</f>
        <v>38570</v>
      </c>
      <c r="L338" s="41" t="n">
        <f aca="false">IF($A338="","",$F338*$J338)</f>
        <v>27840</v>
      </c>
      <c r="M338" s="41" t="n">
        <f aca="false">IF($A338="","",$K338-$L338)</f>
        <v>10730</v>
      </c>
    </row>
    <row r="339" customFormat="false" ht="15" hidden="false" customHeight="false" outlineLevel="0" collapsed="false">
      <c r="A339" s="37" t="s">
        <v>438</v>
      </c>
      <c r="B339" s="38" t="n">
        <v>45943</v>
      </c>
      <c r="C339" s="37" t="s">
        <v>78</v>
      </c>
      <c r="D339" s="37" t="s">
        <v>86</v>
      </c>
      <c r="E339" s="37" t="s">
        <v>103</v>
      </c>
      <c r="F339" s="39" t="n">
        <v>20</v>
      </c>
      <c r="G339" s="40" t="n">
        <v>0</v>
      </c>
      <c r="H339" s="8" t="str">
        <f aca="false">IF($A339="","",IFERROR(INDEX(Products!$B$2:$B$50,MATCH($E339,Products!$A$2:$A$50,0)),"Unmapped"))</f>
        <v>Electronics</v>
      </c>
      <c r="I339" s="41" t="n">
        <f aca="false">IF($A339="","",IFERROR(INDEX(Products!$C$2:$C$50,MATCH($E339,Products!$A$2:$A$50,0)),0))</f>
        <v>900</v>
      </c>
      <c r="J339" s="41" t="n">
        <f aca="false">IF($A339="","",IFERROR(INDEX(Products!$D$2:$D$50,MATCH($E339,Products!$A$2:$A$50,0)),0))</f>
        <v>620</v>
      </c>
      <c r="K339" s="41" t="n">
        <f aca="false">IF($A339="","",$F339*$I339*(1-$G339))</f>
        <v>18000</v>
      </c>
      <c r="L339" s="41" t="n">
        <f aca="false">IF($A339="","",$F339*$J339)</f>
        <v>12400</v>
      </c>
      <c r="M339" s="41" t="n">
        <f aca="false">IF($A339="","",$K339-$L339)</f>
        <v>5600</v>
      </c>
    </row>
    <row r="340" customFormat="false" ht="15" hidden="false" customHeight="false" outlineLevel="0" collapsed="false">
      <c r="A340" s="37" t="s">
        <v>439</v>
      </c>
      <c r="B340" s="38" t="n">
        <v>45944</v>
      </c>
      <c r="C340" s="37" t="s">
        <v>82</v>
      </c>
      <c r="D340" s="37" t="s">
        <v>93</v>
      </c>
      <c r="E340" s="37" t="s">
        <v>157</v>
      </c>
      <c r="F340" s="39" t="n">
        <v>25</v>
      </c>
      <c r="G340" s="40" t="n">
        <v>0.1</v>
      </c>
      <c r="H340" s="8" t="str">
        <f aca="false">IF($A340="","",IFERROR(INDEX(Products!$B$2:$B$50,MATCH($E340,Products!$A$2:$A$50,0)),"Unmapped"))</f>
        <v>Electronics</v>
      </c>
      <c r="I340" s="41" t="n">
        <f aca="false">IF($A340="","",IFERROR(INDEX(Products!$C$2:$C$50,MATCH($E340,Products!$A$2:$A$50,0)),0))</f>
        <v>8900</v>
      </c>
      <c r="J340" s="41" t="n">
        <f aca="false">IF($A340="","",IFERROR(INDEX(Products!$D$2:$D$50,MATCH($E340,Products!$A$2:$A$50,0)),0))</f>
        <v>7000</v>
      </c>
      <c r="K340" s="41" t="n">
        <f aca="false">IF($A340="","",$F340*$I340*(1-$G340))</f>
        <v>200250</v>
      </c>
      <c r="L340" s="41" t="n">
        <f aca="false">IF($A340="","",$F340*$J340)</f>
        <v>175000</v>
      </c>
      <c r="M340" s="41" t="n">
        <f aca="false">IF($A340="","",$K340-$L340)</f>
        <v>25250</v>
      </c>
    </row>
    <row r="341" customFormat="false" ht="15" hidden="false" customHeight="false" outlineLevel="0" collapsed="false">
      <c r="A341" s="37" t="s">
        <v>440</v>
      </c>
      <c r="B341" s="38" t="n">
        <v>45945</v>
      </c>
      <c r="C341" s="37" t="s">
        <v>82</v>
      </c>
      <c r="D341" s="37" t="s">
        <v>83</v>
      </c>
      <c r="E341" s="37" t="s">
        <v>121</v>
      </c>
      <c r="F341" s="39" t="n">
        <v>14</v>
      </c>
      <c r="G341" s="40" t="n">
        <v>0.05</v>
      </c>
      <c r="H341" s="8" t="str">
        <f aca="false">IF($A341="","",IFERROR(INDEX(Products!$B$2:$B$50,MATCH($E341,Products!$A$2:$A$50,0)),"Unmapped"))</f>
        <v>Electronics</v>
      </c>
      <c r="I341" s="41" t="n">
        <f aca="false">IF($A341="","",IFERROR(INDEX(Products!$C$2:$C$50,MATCH($E341,Products!$A$2:$A$50,0)),0))</f>
        <v>650</v>
      </c>
      <c r="J341" s="41" t="n">
        <f aca="false">IF($A341="","",IFERROR(INDEX(Products!$D$2:$D$50,MATCH($E341,Products!$A$2:$A$50,0)),0))</f>
        <v>430</v>
      </c>
      <c r="K341" s="41" t="n">
        <f aca="false">IF($A341="","",$F341*$I341*(1-$G341))</f>
        <v>8645</v>
      </c>
      <c r="L341" s="41" t="n">
        <f aca="false">IF($A341="","",$F341*$J341)</f>
        <v>6020</v>
      </c>
      <c r="M341" s="41" t="n">
        <f aca="false">IF($A341="","",$K341-$L341)</f>
        <v>2625</v>
      </c>
    </row>
    <row r="342" customFormat="false" ht="15" hidden="false" customHeight="false" outlineLevel="0" collapsed="false">
      <c r="A342" s="37" t="s">
        <v>441</v>
      </c>
      <c r="B342" s="38" t="n">
        <v>45945</v>
      </c>
      <c r="C342" s="37" t="s">
        <v>78</v>
      </c>
      <c r="D342" s="37" t="s">
        <v>86</v>
      </c>
      <c r="E342" s="37" t="s">
        <v>90</v>
      </c>
      <c r="F342" s="39" t="n">
        <v>185</v>
      </c>
      <c r="G342" s="40" t="n">
        <v>0</v>
      </c>
      <c r="H342" s="8" t="str">
        <f aca="false">IF($A342="","",IFERROR(INDEX(Products!$B$2:$B$50,MATCH($E342,Products!$A$2:$A$50,0)),"Unmapped"))</f>
        <v>Stationery</v>
      </c>
      <c r="I342" s="41" t="n">
        <f aca="false">IF($A342="","",IFERROR(INDEX(Products!$C$2:$C$50,MATCH($E342,Products!$A$2:$A$50,0)),0))</f>
        <v>120</v>
      </c>
      <c r="J342" s="41" t="n">
        <f aca="false">IF($A342="","",IFERROR(INDEX(Products!$D$2:$D$50,MATCH($E342,Products!$A$2:$A$50,0)),0))</f>
        <v>80</v>
      </c>
      <c r="K342" s="41" t="n">
        <f aca="false">IF($A342="","",$F342*$I342*(1-$G342))</f>
        <v>22200</v>
      </c>
      <c r="L342" s="41" t="n">
        <f aca="false">IF($A342="","",$F342*$J342)</f>
        <v>14800</v>
      </c>
      <c r="M342" s="41" t="n">
        <f aca="false">IF($A342="","",$K342-$L342)</f>
        <v>7400</v>
      </c>
    </row>
    <row r="343" customFormat="false" ht="15" hidden="false" customHeight="false" outlineLevel="0" collapsed="false">
      <c r="A343" s="37" t="s">
        <v>442</v>
      </c>
      <c r="B343" s="38" t="n">
        <v>45946</v>
      </c>
      <c r="C343" s="37" t="s">
        <v>82</v>
      </c>
      <c r="D343" s="37" t="s">
        <v>93</v>
      </c>
      <c r="E343" s="37" t="s">
        <v>107</v>
      </c>
      <c r="F343" s="39" t="n">
        <v>2</v>
      </c>
      <c r="G343" s="40" t="n">
        <v>0.05</v>
      </c>
      <c r="H343" s="8" t="str">
        <f aca="false">IF($A343="","",IFERROR(INDEX(Products!$B$2:$B$50,MATCH($E343,Products!$A$2:$A$50,0)),"Unmapped"))</f>
        <v>Furniture</v>
      </c>
      <c r="I343" s="41" t="n">
        <f aca="false">IF($A343="","",IFERROR(INDEX(Products!$C$2:$C$50,MATCH($E343,Products!$A$2:$A$50,0)),0))</f>
        <v>7200</v>
      </c>
      <c r="J343" s="41" t="n">
        <f aca="false">IF($A343="","",IFERROR(INDEX(Products!$D$2:$D$50,MATCH($E343,Products!$A$2:$A$50,0)),0))</f>
        <v>5400</v>
      </c>
      <c r="K343" s="41" t="n">
        <f aca="false">IF($A343="","",$F343*$I343*(1-$G343))</f>
        <v>13680</v>
      </c>
      <c r="L343" s="41" t="n">
        <f aca="false">IF($A343="","",$F343*$J343)</f>
        <v>10800</v>
      </c>
      <c r="M343" s="41" t="n">
        <f aca="false">IF($A343="","",$K343-$L343)</f>
        <v>2880</v>
      </c>
    </row>
    <row r="344" customFormat="false" ht="15" hidden="false" customHeight="false" outlineLevel="0" collapsed="false">
      <c r="A344" s="37" t="s">
        <v>443</v>
      </c>
      <c r="B344" s="38" t="n">
        <v>45946</v>
      </c>
      <c r="C344" s="37" t="s">
        <v>78</v>
      </c>
      <c r="D344" s="37" t="s">
        <v>86</v>
      </c>
      <c r="E344" s="37" t="s">
        <v>90</v>
      </c>
      <c r="F344" s="39" t="n">
        <v>56</v>
      </c>
      <c r="G344" s="40" t="n">
        <v>0.1</v>
      </c>
      <c r="H344" s="8" t="str">
        <f aca="false">IF($A344="","",IFERROR(INDEX(Products!$B$2:$B$50,MATCH($E344,Products!$A$2:$A$50,0)),"Unmapped"))</f>
        <v>Stationery</v>
      </c>
      <c r="I344" s="41" t="n">
        <f aca="false">IF($A344="","",IFERROR(INDEX(Products!$C$2:$C$50,MATCH($E344,Products!$A$2:$A$50,0)),0))</f>
        <v>120</v>
      </c>
      <c r="J344" s="41" t="n">
        <f aca="false">IF($A344="","",IFERROR(INDEX(Products!$D$2:$D$50,MATCH($E344,Products!$A$2:$A$50,0)),0))</f>
        <v>80</v>
      </c>
      <c r="K344" s="41" t="n">
        <f aca="false">IF($A344="","",$F344*$I344*(1-$G344))</f>
        <v>6048</v>
      </c>
      <c r="L344" s="41" t="n">
        <f aca="false">IF($A344="","",$F344*$J344)</f>
        <v>4480</v>
      </c>
      <c r="M344" s="41" t="n">
        <f aca="false">IF($A344="","",$K344-$L344)</f>
        <v>1568</v>
      </c>
    </row>
    <row r="345" customFormat="false" ht="15" hidden="false" customHeight="false" outlineLevel="0" collapsed="false">
      <c r="A345" s="37" t="s">
        <v>444</v>
      </c>
      <c r="B345" s="38" t="n">
        <v>45946</v>
      </c>
      <c r="C345" s="37" t="s">
        <v>78</v>
      </c>
      <c r="D345" s="37" t="s">
        <v>79</v>
      </c>
      <c r="E345" s="37" t="s">
        <v>90</v>
      </c>
      <c r="F345" s="39" t="n">
        <v>74</v>
      </c>
      <c r="G345" s="40" t="n">
        <v>0.15</v>
      </c>
      <c r="H345" s="8" t="str">
        <f aca="false">IF($A345="","",IFERROR(INDEX(Products!$B$2:$B$50,MATCH($E345,Products!$A$2:$A$50,0)),"Unmapped"))</f>
        <v>Stationery</v>
      </c>
      <c r="I345" s="41" t="n">
        <f aca="false">IF($A345="","",IFERROR(INDEX(Products!$C$2:$C$50,MATCH($E345,Products!$A$2:$A$50,0)),0))</f>
        <v>120</v>
      </c>
      <c r="J345" s="41" t="n">
        <f aca="false">IF($A345="","",IFERROR(INDEX(Products!$D$2:$D$50,MATCH($E345,Products!$A$2:$A$50,0)),0))</f>
        <v>80</v>
      </c>
      <c r="K345" s="41" t="n">
        <f aca="false">IF($A345="","",$F345*$I345*(1-$G345))</f>
        <v>7548</v>
      </c>
      <c r="L345" s="41" t="n">
        <f aca="false">IF($A345="","",$F345*$J345)</f>
        <v>5920</v>
      </c>
      <c r="M345" s="41" t="n">
        <f aca="false">IF($A345="","",$K345-$L345)</f>
        <v>1628</v>
      </c>
    </row>
    <row r="346" customFormat="false" ht="15" hidden="false" customHeight="false" outlineLevel="0" collapsed="false">
      <c r="A346" s="37" t="s">
        <v>445</v>
      </c>
      <c r="B346" s="38" t="n">
        <v>45947</v>
      </c>
      <c r="C346" s="37" t="s">
        <v>82</v>
      </c>
      <c r="D346" s="37" t="s">
        <v>93</v>
      </c>
      <c r="E346" s="37" t="s">
        <v>114</v>
      </c>
      <c r="F346" s="39" t="n">
        <v>35</v>
      </c>
      <c r="G346" s="40" t="n">
        <v>0.05</v>
      </c>
      <c r="H346" s="8" t="str">
        <f aca="false">IF($A346="","",IFERROR(INDEX(Products!$B$2:$B$50,MATCH($E346,Products!$A$2:$A$50,0)),"Unmapped"))</f>
        <v>Pantry</v>
      </c>
      <c r="I346" s="41" t="n">
        <f aca="false">IF($A346="","",IFERROR(INDEX(Products!$C$2:$C$50,MATCH($E346,Products!$A$2:$A$50,0)),0))</f>
        <v>1500</v>
      </c>
      <c r="J346" s="41" t="n">
        <f aca="false">IF($A346="","",IFERROR(INDEX(Products!$D$2:$D$50,MATCH($E346,Products!$A$2:$A$50,0)),0))</f>
        <v>1100</v>
      </c>
      <c r="K346" s="41" t="n">
        <f aca="false">IF($A346="","",$F346*$I346*(1-$G346))</f>
        <v>49875</v>
      </c>
      <c r="L346" s="41" t="n">
        <f aca="false">IF($A346="","",$F346*$J346)</f>
        <v>38500</v>
      </c>
      <c r="M346" s="41" t="n">
        <f aca="false">IF($A346="","",$K346-$L346)</f>
        <v>11375</v>
      </c>
    </row>
    <row r="347" customFormat="false" ht="15" hidden="false" customHeight="false" outlineLevel="0" collapsed="false">
      <c r="A347" s="37" t="s">
        <v>446</v>
      </c>
      <c r="B347" s="38" t="n">
        <v>45947</v>
      </c>
      <c r="C347" s="37" t="s">
        <v>88</v>
      </c>
      <c r="D347" s="37" t="s">
        <v>89</v>
      </c>
      <c r="E347" s="37" t="s">
        <v>174</v>
      </c>
      <c r="F347" s="39" t="n">
        <v>17</v>
      </c>
      <c r="G347" s="40" t="n">
        <v>0</v>
      </c>
      <c r="H347" s="8" t="str">
        <f aca="false">IF($A347="","",IFERROR(INDEX(Products!$B$2:$B$50,MATCH($E347,Products!$A$2:$A$50,0)),"Unmapped"))</f>
        <v>Electronics</v>
      </c>
      <c r="I347" s="41" t="n">
        <f aca="false">IF($A347="","",IFERROR(INDEX(Products!$C$2:$C$50,MATCH($E347,Products!$A$2:$A$50,0)),0))</f>
        <v>9800</v>
      </c>
      <c r="J347" s="41" t="n">
        <f aca="false">IF($A347="","",IFERROR(INDEX(Products!$D$2:$D$50,MATCH($E347,Products!$A$2:$A$50,0)),0))</f>
        <v>7600</v>
      </c>
      <c r="K347" s="41" t="n">
        <f aca="false">IF($A347="","",$F347*$I347*(1-$G347))</f>
        <v>166600</v>
      </c>
      <c r="L347" s="41" t="n">
        <f aca="false">IF($A347="","",$F347*$J347)</f>
        <v>129200</v>
      </c>
      <c r="M347" s="41" t="n">
        <f aca="false">IF($A347="","",$K347-$L347)</f>
        <v>37400</v>
      </c>
    </row>
    <row r="348" customFormat="false" ht="15" hidden="false" customHeight="false" outlineLevel="0" collapsed="false">
      <c r="A348" s="37" t="s">
        <v>447</v>
      </c>
      <c r="B348" s="38" t="n">
        <v>45947</v>
      </c>
      <c r="C348" s="37" t="s">
        <v>78</v>
      </c>
      <c r="D348" s="37" t="s">
        <v>79</v>
      </c>
      <c r="E348" s="37" t="s">
        <v>80</v>
      </c>
      <c r="F348" s="39" t="n">
        <v>35</v>
      </c>
      <c r="G348" s="40" t="n">
        <v>0.05</v>
      </c>
      <c r="H348" s="8" t="str">
        <f aca="false">IF($A348="","",IFERROR(INDEX(Products!$B$2:$B$50,MATCH($E348,Products!$A$2:$A$50,0)),"Unmapped"))</f>
        <v>Pantry</v>
      </c>
      <c r="I348" s="41" t="n">
        <f aca="false">IF($A348="","",IFERROR(INDEX(Products!$C$2:$C$50,MATCH($E348,Products!$A$2:$A$50,0)),0))</f>
        <v>5600</v>
      </c>
      <c r="J348" s="41" t="n">
        <f aca="false">IF($A348="","",IFERROR(INDEX(Products!$D$2:$D$50,MATCH($E348,Products!$A$2:$A$50,0)),0))</f>
        <v>4200</v>
      </c>
      <c r="K348" s="41" t="n">
        <f aca="false">IF($A348="","",$F348*$I348*(1-$G348))</f>
        <v>186200</v>
      </c>
      <c r="L348" s="41" t="n">
        <f aca="false">IF($A348="","",$F348*$J348)</f>
        <v>147000</v>
      </c>
      <c r="M348" s="41" t="n">
        <f aca="false">IF($A348="","",$K348-$L348)</f>
        <v>39200</v>
      </c>
    </row>
    <row r="349" customFormat="false" ht="15" hidden="false" customHeight="false" outlineLevel="0" collapsed="false">
      <c r="A349" s="37" t="s">
        <v>448</v>
      </c>
      <c r="B349" s="38" t="n">
        <v>45949</v>
      </c>
      <c r="C349" s="37" t="s">
        <v>78</v>
      </c>
      <c r="D349" s="37" t="s">
        <v>79</v>
      </c>
      <c r="E349" s="37" t="s">
        <v>174</v>
      </c>
      <c r="F349" s="39" t="n">
        <v>26</v>
      </c>
      <c r="G349" s="40" t="n">
        <v>0.1</v>
      </c>
      <c r="H349" s="8" t="str">
        <f aca="false">IF($A349="","",IFERROR(INDEX(Products!$B$2:$B$50,MATCH($E349,Products!$A$2:$A$50,0)),"Unmapped"))</f>
        <v>Electronics</v>
      </c>
      <c r="I349" s="41" t="n">
        <f aca="false">IF($A349="","",IFERROR(INDEX(Products!$C$2:$C$50,MATCH($E349,Products!$A$2:$A$50,0)),0))</f>
        <v>9800</v>
      </c>
      <c r="J349" s="41" t="n">
        <f aca="false">IF($A349="","",IFERROR(INDEX(Products!$D$2:$D$50,MATCH($E349,Products!$A$2:$A$50,0)),0))</f>
        <v>7600</v>
      </c>
      <c r="K349" s="41" t="n">
        <f aca="false">IF($A349="","",$F349*$I349*(1-$G349))</f>
        <v>229320</v>
      </c>
      <c r="L349" s="41" t="n">
        <f aca="false">IF($A349="","",$F349*$J349)</f>
        <v>197600</v>
      </c>
      <c r="M349" s="41" t="n">
        <f aca="false">IF($A349="","",$K349-$L349)</f>
        <v>31720</v>
      </c>
    </row>
    <row r="350" customFormat="false" ht="15" hidden="false" customHeight="false" outlineLevel="0" collapsed="false">
      <c r="A350" s="37" t="s">
        <v>449</v>
      </c>
      <c r="B350" s="38" t="n">
        <v>45949</v>
      </c>
      <c r="C350" s="37" t="s">
        <v>78</v>
      </c>
      <c r="D350" s="37" t="s">
        <v>79</v>
      </c>
      <c r="E350" s="37" t="s">
        <v>84</v>
      </c>
      <c r="F350" s="39" t="n">
        <v>186</v>
      </c>
      <c r="G350" s="40" t="n">
        <v>0</v>
      </c>
      <c r="H350" s="8" t="str">
        <f aca="false">IF($A350="","",IFERROR(INDEX(Products!$B$2:$B$50,MATCH($E350,Products!$A$2:$A$50,0)),"Unmapped"))</f>
        <v>Stationery</v>
      </c>
      <c r="I350" s="41" t="n">
        <f aca="false">IF($A350="","",IFERROR(INDEX(Products!$C$2:$C$50,MATCH($E350,Products!$A$2:$A$50,0)),0))</f>
        <v>350</v>
      </c>
      <c r="J350" s="41" t="n">
        <f aca="false">IF($A350="","",IFERROR(INDEX(Products!$D$2:$D$50,MATCH($E350,Products!$A$2:$A$50,0)),0))</f>
        <v>240</v>
      </c>
      <c r="K350" s="41" t="n">
        <f aca="false">IF($A350="","",$F350*$I350*(1-$G350))</f>
        <v>65100</v>
      </c>
      <c r="L350" s="41" t="n">
        <f aca="false">IF($A350="","",$F350*$J350)</f>
        <v>44640</v>
      </c>
      <c r="M350" s="41" t="n">
        <f aca="false">IF($A350="","",$K350-$L350)</f>
        <v>20460</v>
      </c>
    </row>
    <row r="351" customFormat="false" ht="15" hidden="false" customHeight="false" outlineLevel="0" collapsed="false">
      <c r="A351" s="37" t="s">
        <v>450</v>
      </c>
      <c r="B351" s="38" t="n">
        <v>45951</v>
      </c>
      <c r="C351" s="37" t="s">
        <v>78</v>
      </c>
      <c r="D351" s="37" t="s">
        <v>79</v>
      </c>
      <c r="E351" s="37" t="s">
        <v>157</v>
      </c>
      <c r="F351" s="39" t="n">
        <v>21</v>
      </c>
      <c r="G351" s="40" t="n">
        <v>0.1</v>
      </c>
      <c r="H351" s="8" t="str">
        <f aca="false">IF($A351="","",IFERROR(INDEX(Products!$B$2:$B$50,MATCH($E351,Products!$A$2:$A$50,0)),"Unmapped"))</f>
        <v>Electronics</v>
      </c>
      <c r="I351" s="41" t="n">
        <f aca="false">IF($A351="","",IFERROR(INDEX(Products!$C$2:$C$50,MATCH($E351,Products!$A$2:$A$50,0)),0))</f>
        <v>8900</v>
      </c>
      <c r="J351" s="41" t="n">
        <f aca="false">IF($A351="","",IFERROR(INDEX(Products!$D$2:$D$50,MATCH($E351,Products!$A$2:$A$50,0)),0))</f>
        <v>7000</v>
      </c>
      <c r="K351" s="41" t="n">
        <f aca="false">IF($A351="","",$F351*$I351*(1-$G351))</f>
        <v>168210</v>
      </c>
      <c r="L351" s="41" t="n">
        <f aca="false">IF($A351="","",$F351*$J351)</f>
        <v>147000</v>
      </c>
      <c r="M351" s="41" t="n">
        <f aca="false">IF($A351="","",$K351-$L351)</f>
        <v>21210</v>
      </c>
    </row>
    <row r="352" customFormat="false" ht="15" hidden="false" customHeight="false" outlineLevel="0" collapsed="false">
      <c r="A352" s="37" t="s">
        <v>451</v>
      </c>
      <c r="B352" s="38" t="n">
        <v>45951</v>
      </c>
      <c r="C352" s="37" t="s">
        <v>78</v>
      </c>
      <c r="D352" s="37" t="s">
        <v>79</v>
      </c>
      <c r="E352" s="37" t="s">
        <v>94</v>
      </c>
      <c r="F352" s="39" t="n">
        <v>110</v>
      </c>
      <c r="G352" s="40" t="n">
        <v>0.05</v>
      </c>
      <c r="H352" s="8" t="str">
        <f aca="false">IF($A352="","",IFERROR(INDEX(Products!$B$2:$B$50,MATCH($E352,Products!$A$2:$A$50,0)),"Unmapped"))</f>
        <v>Stationery</v>
      </c>
      <c r="I352" s="41" t="n">
        <f aca="false">IF($A352="","",IFERROR(INDEX(Products!$C$2:$C$50,MATCH($E352,Products!$A$2:$A$50,0)),0))</f>
        <v>280</v>
      </c>
      <c r="J352" s="41" t="n">
        <f aca="false">IF($A352="","",IFERROR(INDEX(Products!$D$2:$D$50,MATCH($E352,Products!$A$2:$A$50,0)),0))</f>
        <v>210</v>
      </c>
      <c r="K352" s="41" t="n">
        <f aca="false">IF($A352="","",$F352*$I352*(1-$G352))</f>
        <v>29260</v>
      </c>
      <c r="L352" s="41" t="n">
        <f aca="false">IF($A352="","",$F352*$J352)</f>
        <v>23100</v>
      </c>
      <c r="M352" s="41" t="n">
        <f aca="false">IF($A352="","",$K352-$L352)</f>
        <v>6160</v>
      </c>
    </row>
    <row r="353" customFormat="false" ht="15" hidden="false" customHeight="false" outlineLevel="0" collapsed="false">
      <c r="A353" s="37" t="s">
        <v>452</v>
      </c>
      <c r="B353" s="38" t="n">
        <v>45951</v>
      </c>
      <c r="C353" s="37" t="s">
        <v>105</v>
      </c>
      <c r="D353" s="37" t="s">
        <v>116</v>
      </c>
      <c r="E353" s="37" t="s">
        <v>121</v>
      </c>
      <c r="F353" s="39" t="n">
        <v>8</v>
      </c>
      <c r="G353" s="40" t="n">
        <v>0.15</v>
      </c>
      <c r="H353" s="8" t="str">
        <f aca="false">IF($A353="","",IFERROR(INDEX(Products!$B$2:$B$50,MATCH($E353,Products!$A$2:$A$50,0)),"Unmapped"))</f>
        <v>Electronics</v>
      </c>
      <c r="I353" s="41" t="n">
        <f aca="false">IF($A353="","",IFERROR(INDEX(Products!$C$2:$C$50,MATCH($E353,Products!$A$2:$A$50,0)),0))</f>
        <v>650</v>
      </c>
      <c r="J353" s="41" t="n">
        <f aca="false">IF($A353="","",IFERROR(INDEX(Products!$D$2:$D$50,MATCH($E353,Products!$A$2:$A$50,0)),0))</f>
        <v>430</v>
      </c>
      <c r="K353" s="41" t="n">
        <f aca="false">IF($A353="","",$F353*$I353*(1-$G353))</f>
        <v>4420</v>
      </c>
      <c r="L353" s="41" t="n">
        <f aca="false">IF($A353="","",$F353*$J353)</f>
        <v>3440</v>
      </c>
      <c r="M353" s="41" t="n">
        <f aca="false">IF($A353="","",$K353-$L353)</f>
        <v>980</v>
      </c>
    </row>
    <row r="354" customFormat="false" ht="15" hidden="false" customHeight="false" outlineLevel="0" collapsed="false">
      <c r="A354" s="37" t="s">
        <v>453</v>
      </c>
      <c r="B354" s="38" t="n">
        <v>45952</v>
      </c>
      <c r="C354" s="37" t="s">
        <v>88</v>
      </c>
      <c r="D354" s="37" t="s">
        <v>111</v>
      </c>
      <c r="E354" s="37" t="s">
        <v>107</v>
      </c>
      <c r="F354" s="39" t="n">
        <v>4</v>
      </c>
      <c r="G354" s="40" t="n">
        <v>0</v>
      </c>
      <c r="H354" s="8" t="str">
        <f aca="false">IF($A354="","",IFERROR(INDEX(Products!$B$2:$B$50,MATCH($E354,Products!$A$2:$A$50,0)),"Unmapped"))</f>
        <v>Furniture</v>
      </c>
      <c r="I354" s="41" t="n">
        <f aca="false">IF($A354="","",IFERROR(INDEX(Products!$C$2:$C$50,MATCH($E354,Products!$A$2:$A$50,0)),0))</f>
        <v>7200</v>
      </c>
      <c r="J354" s="41" t="n">
        <f aca="false">IF($A354="","",IFERROR(INDEX(Products!$D$2:$D$50,MATCH($E354,Products!$A$2:$A$50,0)),0))</f>
        <v>5400</v>
      </c>
      <c r="K354" s="41" t="n">
        <f aca="false">IF($A354="","",$F354*$I354*(1-$G354))</f>
        <v>28800</v>
      </c>
      <c r="L354" s="41" t="n">
        <f aca="false">IF($A354="","",$F354*$J354)</f>
        <v>21600</v>
      </c>
      <c r="M354" s="41" t="n">
        <f aca="false">IF($A354="","",$K354-$L354)</f>
        <v>7200</v>
      </c>
    </row>
    <row r="355" customFormat="false" ht="15" hidden="false" customHeight="false" outlineLevel="0" collapsed="false">
      <c r="A355" s="37" t="s">
        <v>454</v>
      </c>
      <c r="B355" s="38" t="n">
        <v>45952</v>
      </c>
      <c r="C355" s="37" t="s">
        <v>82</v>
      </c>
      <c r="D355" s="37" t="s">
        <v>93</v>
      </c>
      <c r="E355" s="37" t="s">
        <v>103</v>
      </c>
      <c r="F355" s="39" t="n">
        <v>24</v>
      </c>
      <c r="G355" s="40" t="n">
        <v>0</v>
      </c>
      <c r="H355" s="8" t="str">
        <f aca="false">IF($A355="","",IFERROR(INDEX(Products!$B$2:$B$50,MATCH($E355,Products!$A$2:$A$50,0)),"Unmapped"))</f>
        <v>Electronics</v>
      </c>
      <c r="I355" s="41" t="n">
        <f aca="false">IF($A355="","",IFERROR(INDEX(Products!$C$2:$C$50,MATCH($E355,Products!$A$2:$A$50,0)),0))</f>
        <v>900</v>
      </c>
      <c r="J355" s="41" t="n">
        <f aca="false">IF($A355="","",IFERROR(INDEX(Products!$D$2:$D$50,MATCH($E355,Products!$A$2:$A$50,0)),0))</f>
        <v>620</v>
      </c>
      <c r="K355" s="41" t="n">
        <f aca="false">IF($A355="","",$F355*$I355*(1-$G355))</f>
        <v>21600</v>
      </c>
      <c r="L355" s="41" t="n">
        <f aca="false">IF($A355="","",$F355*$J355)</f>
        <v>14880</v>
      </c>
      <c r="M355" s="41" t="n">
        <f aca="false">IF($A355="","",$K355-$L355)</f>
        <v>6720</v>
      </c>
    </row>
    <row r="356" customFormat="false" ht="15" hidden="false" customHeight="false" outlineLevel="0" collapsed="false">
      <c r="A356" s="37" t="s">
        <v>455</v>
      </c>
      <c r="B356" s="38" t="n">
        <v>45952</v>
      </c>
      <c r="C356" s="37" t="s">
        <v>82</v>
      </c>
      <c r="D356" s="37" t="s">
        <v>83</v>
      </c>
      <c r="E356" s="37" t="s">
        <v>134</v>
      </c>
      <c r="F356" s="39" t="n">
        <v>5</v>
      </c>
      <c r="G356" s="40" t="n">
        <v>0.05</v>
      </c>
      <c r="H356" s="8" t="str">
        <f aca="false">IF($A356="","",IFERROR(INDEX(Products!$B$2:$B$50,MATCH($E356,Products!$A$2:$A$50,0)),"Unmapped"))</f>
        <v>Furniture</v>
      </c>
      <c r="I356" s="41" t="n">
        <f aca="false">IF($A356="","",IFERROR(INDEX(Products!$C$2:$C$50,MATCH($E356,Products!$A$2:$A$50,0)),0))</f>
        <v>6100</v>
      </c>
      <c r="J356" s="41" t="n">
        <f aca="false">IF($A356="","",IFERROR(INDEX(Products!$D$2:$D$50,MATCH($E356,Products!$A$2:$A$50,0)),0))</f>
        <v>4500</v>
      </c>
      <c r="K356" s="41" t="n">
        <f aca="false">IF($A356="","",$F356*$I356*(1-$G356))</f>
        <v>28975</v>
      </c>
      <c r="L356" s="41" t="n">
        <f aca="false">IF($A356="","",$F356*$J356)</f>
        <v>22500</v>
      </c>
      <c r="M356" s="41" t="n">
        <f aca="false">IF($A356="","",$K356-$L356)</f>
        <v>6475</v>
      </c>
    </row>
    <row r="357" customFormat="false" ht="15" hidden="false" customHeight="false" outlineLevel="0" collapsed="false">
      <c r="A357" s="37" t="s">
        <v>456</v>
      </c>
      <c r="B357" s="38" t="n">
        <v>45953</v>
      </c>
      <c r="C357" s="37" t="s">
        <v>78</v>
      </c>
      <c r="D357" s="37" t="s">
        <v>79</v>
      </c>
      <c r="E357" s="37" t="s">
        <v>96</v>
      </c>
      <c r="F357" s="39" t="n">
        <v>9</v>
      </c>
      <c r="G357" s="40" t="n">
        <v>0.05</v>
      </c>
      <c r="H357" s="8" t="str">
        <f aca="false">IF($A357="","",IFERROR(INDEX(Products!$B$2:$B$50,MATCH($E357,Products!$A$2:$A$50,0)),"Unmapped"))</f>
        <v>Furniture</v>
      </c>
      <c r="I357" s="41" t="n">
        <f aca="false">IF($A357="","",IFERROR(INDEX(Products!$C$2:$C$50,MATCH($E357,Products!$A$2:$A$50,0)),0))</f>
        <v>4800</v>
      </c>
      <c r="J357" s="41" t="n">
        <f aca="false">IF($A357="","",IFERROR(INDEX(Products!$D$2:$D$50,MATCH($E357,Products!$A$2:$A$50,0)),0))</f>
        <v>3500</v>
      </c>
      <c r="K357" s="41" t="n">
        <f aca="false">IF($A357="","",$F357*$I357*(1-$G357))</f>
        <v>41040</v>
      </c>
      <c r="L357" s="41" t="n">
        <f aca="false">IF($A357="","",$F357*$J357)</f>
        <v>31500</v>
      </c>
      <c r="M357" s="41" t="n">
        <f aca="false">IF($A357="","",$K357-$L357)</f>
        <v>9540</v>
      </c>
    </row>
    <row r="358" customFormat="false" ht="15" hidden="false" customHeight="false" outlineLevel="0" collapsed="false">
      <c r="A358" s="37" t="s">
        <v>457</v>
      </c>
      <c r="B358" s="38" t="n">
        <v>45953</v>
      </c>
      <c r="C358" s="37" t="s">
        <v>105</v>
      </c>
      <c r="D358" s="37" t="s">
        <v>116</v>
      </c>
      <c r="E358" s="37" t="s">
        <v>84</v>
      </c>
      <c r="F358" s="39" t="n">
        <v>189</v>
      </c>
      <c r="G358" s="40" t="n">
        <v>0.1</v>
      </c>
      <c r="H358" s="8" t="str">
        <f aca="false">IF($A358="","",IFERROR(INDEX(Products!$B$2:$B$50,MATCH($E358,Products!$A$2:$A$50,0)),"Unmapped"))</f>
        <v>Stationery</v>
      </c>
      <c r="I358" s="41" t="n">
        <f aca="false">IF($A358="","",IFERROR(INDEX(Products!$C$2:$C$50,MATCH($E358,Products!$A$2:$A$50,0)),0))</f>
        <v>350</v>
      </c>
      <c r="J358" s="41" t="n">
        <f aca="false">IF($A358="","",IFERROR(INDEX(Products!$D$2:$D$50,MATCH($E358,Products!$A$2:$A$50,0)),0))</f>
        <v>240</v>
      </c>
      <c r="K358" s="41" t="n">
        <f aca="false">IF($A358="","",$F358*$I358*(1-$G358))</f>
        <v>59535</v>
      </c>
      <c r="L358" s="41" t="n">
        <f aca="false">IF($A358="","",$F358*$J358)</f>
        <v>45360</v>
      </c>
      <c r="M358" s="41" t="n">
        <f aca="false">IF($A358="","",$K358-$L358)</f>
        <v>14175</v>
      </c>
    </row>
    <row r="359" customFormat="false" ht="15" hidden="false" customHeight="false" outlineLevel="0" collapsed="false">
      <c r="A359" s="37" t="s">
        <v>458</v>
      </c>
      <c r="B359" s="38" t="n">
        <v>45953</v>
      </c>
      <c r="C359" s="37" t="s">
        <v>82</v>
      </c>
      <c r="D359" s="37" t="s">
        <v>83</v>
      </c>
      <c r="E359" s="37" t="s">
        <v>114</v>
      </c>
      <c r="F359" s="39" t="n">
        <v>33</v>
      </c>
      <c r="G359" s="40" t="n">
        <v>0.1</v>
      </c>
      <c r="H359" s="8" t="str">
        <f aca="false">IF($A359="","",IFERROR(INDEX(Products!$B$2:$B$50,MATCH($E359,Products!$A$2:$A$50,0)),"Unmapped"))</f>
        <v>Pantry</v>
      </c>
      <c r="I359" s="41" t="n">
        <f aca="false">IF($A359="","",IFERROR(INDEX(Products!$C$2:$C$50,MATCH($E359,Products!$A$2:$A$50,0)),0))</f>
        <v>1500</v>
      </c>
      <c r="J359" s="41" t="n">
        <f aca="false">IF($A359="","",IFERROR(INDEX(Products!$D$2:$D$50,MATCH($E359,Products!$A$2:$A$50,0)),0))</f>
        <v>1100</v>
      </c>
      <c r="K359" s="41" t="n">
        <f aca="false">IF($A359="","",$F359*$I359*(1-$G359))</f>
        <v>44550</v>
      </c>
      <c r="L359" s="41" t="n">
        <f aca="false">IF($A359="","",$F359*$J359)</f>
        <v>36300</v>
      </c>
      <c r="M359" s="41" t="n">
        <f aca="false">IF($A359="","",$K359-$L359)</f>
        <v>8250</v>
      </c>
    </row>
    <row r="360" customFormat="false" ht="15" hidden="false" customHeight="false" outlineLevel="0" collapsed="false">
      <c r="A360" s="37" t="s">
        <v>459</v>
      </c>
      <c r="B360" s="38" t="n">
        <v>45954</v>
      </c>
      <c r="C360" s="37" t="s">
        <v>88</v>
      </c>
      <c r="D360" s="37" t="s">
        <v>111</v>
      </c>
      <c r="E360" s="37" t="s">
        <v>121</v>
      </c>
      <c r="F360" s="39" t="n">
        <v>30</v>
      </c>
      <c r="G360" s="40" t="n">
        <v>0.05</v>
      </c>
      <c r="H360" s="8" t="str">
        <f aca="false">IF($A360="","",IFERROR(INDEX(Products!$B$2:$B$50,MATCH($E360,Products!$A$2:$A$50,0)),"Unmapped"))</f>
        <v>Electronics</v>
      </c>
      <c r="I360" s="41" t="n">
        <f aca="false">IF($A360="","",IFERROR(INDEX(Products!$C$2:$C$50,MATCH($E360,Products!$A$2:$A$50,0)),0))</f>
        <v>650</v>
      </c>
      <c r="J360" s="41" t="n">
        <f aca="false">IF($A360="","",IFERROR(INDEX(Products!$D$2:$D$50,MATCH($E360,Products!$A$2:$A$50,0)),0))</f>
        <v>430</v>
      </c>
      <c r="K360" s="41" t="n">
        <f aca="false">IF($A360="","",$F360*$I360*(1-$G360))</f>
        <v>18525</v>
      </c>
      <c r="L360" s="41" t="n">
        <f aca="false">IF($A360="","",$F360*$J360)</f>
        <v>12900</v>
      </c>
      <c r="M360" s="41" t="n">
        <f aca="false">IF($A360="","",$K360-$L360)</f>
        <v>5625</v>
      </c>
    </row>
    <row r="361" customFormat="false" ht="15" hidden="false" customHeight="false" outlineLevel="0" collapsed="false">
      <c r="A361" s="37" t="s">
        <v>460</v>
      </c>
      <c r="B361" s="38" t="n">
        <v>45954</v>
      </c>
      <c r="C361" s="37" t="s">
        <v>105</v>
      </c>
      <c r="D361" s="37" t="s">
        <v>116</v>
      </c>
      <c r="E361" s="37" t="s">
        <v>157</v>
      </c>
      <c r="F361" s="39" t="n">
        <v>27</v>
      </c>
      <c r="G361" s="40" t="n">
        <v>0.05</v>
      </c>
      <c r="H361" s="8" t="str">
        <f aca="false">IF($A361="","",IFERROR(INDEX(Products!$B$2:$B$50,MATCH($E361,Products!$A$2:$A$50,0)),"Unmapped"))</f>
        <v>Electronics</v>
      </c>
      <c r="I361" s="41" t="n">
        <f aca="false">IF($A361="","",IFERROR(INDEX(Products!$C$2:$C$50,MATCH($E361,Products!$A$2:$A$50,0)),0))</f>
        <v>8900</v>
      </c>
      <c r="J361" s="41" t="n">
        <f aca="false">IF($A361="","",IFERROR(INDEX(Products!$D$2:$D$50,MATCH($E361,Products!$A$2:$A$50,0)),0))</f>
        <v>7000</v>
      </c>
      <c r="K361" s="41" t="n">
        <f aca="false">IF($A361="","",$F361*$I361*(1-$G361))</f>
        <v>228285</v>
      </c>
      <c r="L361" s="41" t="n">
        <f aca="false">IF($A361="","",$F361*$J361)</f>
        <v>189000</v>
      </c>
      <c r="M361" s="41" t="n">
        <f aca="false">IF($A361="","",$K361-$L361)</f>
        <v>39285</v>
      </c>
    </row>
    <row r="362" customFormat="false" ht="15" hidden="false" customHeight="false" outlineLevel="0" collapsed="false">
      <c r="A362" s="37" t="s">
        <v>461</v>
      </c>
      <c r="B362" s="38" t="n">
        <v>45956</v>
      </c>
      <c r="C362" s="37" t="s">
        <v>82</v>
      </c>
      <c r="D362" s="37" t="s">
        <v>83</v>
      </c>
      <c r="E362" s="37" t="s">
        <v>174</v>
      </c>
      <c r="F362" s="39" t="n">
        <v>6</v>
      </c>
      <c r="G362" s="40" t="n">
        <v>0.15</v>
      </c>
      <c r="H362" s="8" t="str">
        <f aca="false">IF($A362="","",IFERROR(INDEX(Products!$B$2:$B$50,MATCH($E362,Products!$A$2:$A$50,0)),"Unmapped"))</f>
        <v>Electronics</v>
      </c>
      <c r="I362" s="41" t="n">
        <f aca="false">IF($A362="","",IFERROR(INDEX(Products!$C$2:$C$50,MATCH($E362,Products!$A$2:$A$50,0)),0))</f>
        <v>9800</v>
      </c>
      <c r="J362" s="41" t="n">
        <f aca="false">IF($A362="","",IFERROR(INDEX(Products!$D$2:$D$50,MATCH($E362,Products!$A$2:$A$50,0)),0))</f>
        <v>7600</v>
      </c>
      <c r="K362" s="41" t="n">
        <f aca="false">IF($A362="","",$F362*$I362*(1-$G362))</f>
        <v>49980</v>
      </c>
      <c r="L362" s="41" t="n">
        <f aca="false">IF($A362="","",$F362*$J362)</f>
        <v>45600</v>
      </c>
      <c r="M362" s="41" t="n">
        <f aca="false">IF($A362="","",$K362-$L362)</f>
        <v>4380</v>
      </c>
    </row>
    <row r="363" customFormat="false" ht="15" hidden="false" customHeight="false" outlineLevel="0" collapsed="false">
      <c r="A363" s="37" t="s">
        <v>462</v>
      </c>
      <c r="B363" s="38" t="n">
        <v>45956</v>
      </c>
      <c r="C363" s="37" t="s">
        <v>82</v>
      </c>
      <c r="D363" s="37" t="s">
        <v>93</v>
      </c>
      <c r="E363" s="37" t="s">
        <v>84</v>
      </c>
      <c r="F363" s="39" t="n">
        <v>96</v>
      </c>
      <c r="G363" s="40" t="n">
        <v>0</v>
      </c>
      <c r="H363" s="8" t="str">
        <f aca="false">IF($A363="","",IFERROR(INDEX(Products!$B$2:$B$50,MATCH($E363,Products!$A$2:$A$50,0)),"Unmapped"))</f>
        <v>Stationery</v>
      </c>
      <c r="I363" s="41" t="n">
        <f aca="false">IF($A363="","",IFERROR(INDEX(Products!$C$2:$C$50,MATCH($E363,Products!$A$2:$A$50,0)),0))</f>
        <v>350</v>
      </c>
      <c r="J363" s="41" t="n">
        <f aca="false">IF($A363="","",IFERROR(INDEX(Products!$D$2:$D$50,MATCH($E363,Products!$A$2:$A$50,0)),0))</f>
        <v>240</v>
      </c>
      <c r="K363" s="41" t="n">
        <f aca="false">IF($A363="","",$F363*$I363*(1-$G363))</f>
        <v>33600</v>
      </c>
      <c r="L363" s="41" t="n">
        <f aca="false">IF($A363="","",$F363*$J363)</f>
        <v>23040</v>
      </c>
      <c r="M363" s="41" t="n">
        <f aca="false">IF($A363="","",$K363-$L363)</f>
        <v>10560</v>
      </c>
    </row>
    <row r="364" customFormat="false" ht="15" hidden="false" customHeight="false" outlineLevel="0" collapsed="false">
      <c r="A364" s="37" t="s">
        <v>463</v>
      </c>
      <c r="B364" s="38" t="n">
        <v>45956</v>
      </c>
      <c r="C364" s="37" t="s">
        <v>82</v>
      </c>
      <c r="D364" s="37" t="s">
        <v>83</v>
      </c>
      <c r="E364" s="37" t="s">
        <v>94</v>
      </c>
      <c r="F364" s="39" t="n">
        <v>83</v>
      </c>
      <c r="G364" s="40" t="n">
        <v>0.05</v>
      </c>
      <c r="H364" s="8" t="str">
        <f aca="false">IF($A364="","",IFERROR(INDEX(Products!$B$2:$B$50,MATCH($E364,Products!$A$2:$A$50,0)),"Unmapped"))</f>
        <v>Stationery</v>
      </c>
      <c r="I364" s="41" t="n">
        <f aca="false">IF($A364="","",IFERROR(INDEX(Products!$C$2:$C$50,MATCH($E364,Products!$A$2:$A$50,0)),0))</f>
        <v>280</v>
      </c>
      <c r="J364" s="41" t="n">
        <f aca="false">IF($A364="","",IFERROR(INDEX(Products!$D$2:$D$50,MATCH($E364,Products!$A$2:$A$50,0)),0))</f>
        <v>210</v>
      </c>
      <c r="K364" s="41" t="n">
        <f aca="false">IF($A364="","",$F364*$I364*(1-$G364))</f>
        <v>22078</v>
      </c>
      <c r="L364" s="41" t="n">
        <f aca="false">IF($A364="","",$F364*$J364)</f>
        <v>17430</v>
      </c>
      <c r="M364" s="41" t="n">
        <f aca="false">IF($A364="","",$K364-$L364)</f>
        <v>4648</v>
      </c>
    </row>
    <row r="365" customFormat="false" ht="15" hidden="false" customHeight="false" outlineLevel="0" collapsed="false">
      <c r="A365" s="37" t="s">
        <v>464</v>
      </c>
      <c r="B365" s="38" t="n">
        <v>45957</v>
      </c>
      <c r="C365" s="37" t="s">
        <v>88</v>
      </c>
      <c r="D365" s="37" t="s">
        <v>89</v>
      </c>
      <c r="E365" s="37" t="s">
        <v>121</v>
      </c>
      <c r="F365" s="39" t="n">
        <v>10</v>
      </c>
      <c r="G365" s="40" t="n">
        <v>0.05</v>
      </c>
      <c r="H365" s="8" t="str">
        <f aca="false">IF($A365="","",IFERROR(INDEX(Products!$B$2:$B$50,MATCH($E365,Products!$A$2:$A$50,0)),"Unmapped"))</f>
        <v>Electronics</v>
      </c>
      <c r="I365" s="41" t="n">
        <f aca="false">IF($A365="","",IFERROR(INDEX(Products!$C$2:$C$50,MATCH($E365,Products!$A$2:$A$50,0)),0))</f>
        <v>650</v>
      </c>
      <c r="J365" s="41" t="n">
        <f aca="false">IF($A365="","",IFERROR(INDEX(Products!$D$2:$D$50,MATCH($E365,Products!$A$2:$A$50,0)),0))</f>
        <v>430</v>
      </c>
      <c r="K365" s="41" t="n">
        <f aca="false">IF($A365="","",$F365*$I365*(1-$G365))</f>
        <v>6175</v>
      </c>
      <c r="L365" s="41" t="n">
        <f aca="false">IF($A365="","",$F365*$J365)</f>
        <v>4300</v>
      </c>
      <c r="M365" s="41" t="n">
        <f aca="false">IF($A365="","",$K365-$L365)</f>
        <v>1875</v>
      </c>
    </row>
    <row r="366" customFormat="false" ht="15" hidden="false" customHeight="false" outlineLevel="0" collapsed="false">
      <c r="A366" s="37" t="s">
        <v>465</v>
      </c>
      <c r="B366" s="38" t="n">
        <v>45959</v>
      </c>
      <c r="C366" s="37" t="s">
        <v>82</v>
      </c>
      <c r="D366" s="37" t="s">
        <v>93</v>
      </c>
      <c r="E366" s="37" t="s">
        <v>157</v>
      </c>
      <c r="F366" s="39" t="n">
        <v>22</v>
      </c>
      <c r="G366" s="40" t="n">
        <v>0</v>
      </c>
      <c r="H366" s="8" t="str">
        <f aca="false">IF($A366="","",IFERROR(INDEX(Products!$B$2:$B$50,MATCH($E366,Products!$A$2:$A$50,0)),"Unmapped"))</f>
        <v>Electronics</v>
      </c>
      <c r="I366" s="41" t="n">
        <f aca="false">IF($A366="","",IFERROR(INDEX(Products!$C$2:$C$50,MATCH($E366,Products!$A$2:$A$50,0)),0))</f>
        <v>8900</v>
      </c>
      <c r="J366" s="41" t="n">
        <f aca="false">IF($A366="","",IFERROR(INDEX(Products!$D$2:$D$50,MATCH($E366,Products!$A$2:$A$50,0)),0))</f>
        <v>7000</v>
      </c>
      <c r="K366" s="41" t="n">
        <f aca="false">IF($A366="","",$F366*$I366*(1-$G366))</f>
        <v>195800</v>
      </c>
      <c r="L366" s="41" t="n">
        <f aca="false">IF($A366="","",$F366*$J366)</f>
        <v>154000</v>
      </c>
      <c r="M366" s="41" t="n">
        <f aca="false">IF($A366="","",$K366-$L366)</f>
        <v>41800</v>
      </c>
    </row>
    <row r="367" customFormat="false" ht="15" hidden="false" customHeight="false" outlineLevel="0" collapsed="false">
      <c r="A367" s="37" t="s">
        <v>466</v>
      </c>
      <c r="B367" s="38" t="n">
        <v>45959</v>
      </c>
      <c r="C367" s="37" t="s">
        <v>105</v>
      </c>
      <c r="D367" s="37" t="s">
        <v>106</v>
      </c>
      <c r="E367" s="37" t="s">
        <v>90</v>
      </c>
      <c r="F367" s="39" t="n">
        <v>45</v>
      </c>
      <c r="G367" s="40" t="n">
        <v>0.05</v>
      </c>
      <c r="H367" s="8" t="str">
        <f aca="false">IF($A367="","",IFERROR(INDEX(Products!$B$2:$B$50,MATCH($E367,Products!$A$2:$A$50,0)),"Unmapped"))</f>
        <v>Stationery</v>
      </c>
      <c r="I367" s="41" t="n">
        <f aca="false">IF($A367="","",IFERROR(INDEX(Products!$C$2:$C$50,MATCH($E367,Products!$A$2:$A$50,0)),0))</f>
        <v>120</v>
      </c>
      <c r="J367" s="41" t="n">
        <f aca="false">IF($A367="","",IFERROR(INDEX(Products!$D$2:$D$50,MATCH($E367,Products!$A$2:$A$50,0)),0))</f>
        <v>80</v>
      </c>
      <c r="K367" s="41" t="n">
        <f aca="false">IF($A367="","",$F367*$I367*(1-$G367))</f>
        <v>5130</v>
      </c>
      <c r="L367" s="41" t="n">
        <f aca="false">IF($A367="","",$F367*$J367)</f>
        <v>3600</v>
      </c>
      <c r="M367" s="41" t="n">
        <f aca="false">IF($A367="","",$K367-$L367)</f>
        <v>1530</v>
      </c>
    </row>
    <row r="368" customFormat="false" ht="15" hidden="false" customHeight="false" outlineLevel="0" collapsed="false">
      <c r="A368" s="37" t="s">
        <v>467</v>
      </c>
      <c r="B368" s="38" t="n">
        <v>45960</v>
      </c>
      <c r="C368" s="37" t="s">
        <v>82</v>
      </c>
      <c r="D368" s="37" t="s">
        <v>83</v>
      </c>
      <c r="E368" s="37" t="s">
        <v>103</v>
      </c>
      <c r="F368" s="39" t="n">
        <v>23</v>
      </c>
      <c r="G368" s="40" t="n">
        <v>0.1</v>
      </c>
      <c r="H368" s="8" t="str">
        <f aca="false">IF($A368="","",IFERROR(INDEX(Products!$B$2:$B$50,MATCH($E368,Products!$A$2:$A$50,0)),"Unmapped"))</f>
        <v>Electronics</v>
      </c>
      <c r="I368" s="41" t="n">
        <f aca="false">IF($A368="","",IFERROR(INDEX(Products!$C$2:$C$50,MATCH($E368,Products!$A$2:$A$50,0)),0))</f>
        <v>900</v>
      </c>
      <c r="J368" s="41" t="n">
        <f aca="false">IF($A368="","",IFERROR(INDEX(Products!$D$2:$D$50,MATCH($E368,Products!$A$2:$A$50,0)),0))</f>
        <v>620</v>
      </c>
      <c r="K368" s="41" t="n">
        <f aca="false">IF($A368="","",$F368*$I368*(1-$G368))</f>
        <v>18630</v>
      </c>
      <c r="L368" s="41" t="n">
        <f aca="false">IF($A368="","",$F368*$J368)</f>
        <v>14260</v>
      </c>
      <c r="M368" s="41" t="n">
        <f aca="false">IF($A368="","",$K368-$L368)</f>
        <v>4370</v>
      </c>
    </row>
    <row r="369" customFormat="false" ht="15" hidden="false" customHeight="false" outlineLevel="0" collapsed="false">
      <c r="A369" s="37" t="s">
        <v>468</v>
      </c>
      <c r="B369" s="38" t="n">
        <v>45960</v>
      </c>
      <c r="C369" s="37" t="s">
        <v>82</v>
      </c>
      <c r="D369" s="37" t="s">
        <v>93</v>
      </c>
      <c r="E369" s="37" t="s">
        <v>157</v>
      </c>
      <c r="F369" s="39" t="n">
        <v>4</v>
      </c>
      <c r="G369" s="40" t="n">
        <v>0.1</v>
      </c>
      <c r="H369" s="8" t="str">
        <f aca="false">IF($A369="","",IFERROR(INDEX(Products!$B$2:$B$50,MATCH($E369,Products!$A$2:$A$50,0)),"Unmapped"))</f>
        <v>Electronics</v>
      </c>
      <c r="I369" s="41" t="n">
        <f aca="false">IF($A369="","",IFERROR(INDEX(Products!$C$2:$C$50,MATCH($E369,Products!$A$2:$A$50,0)),0))</f>
        <v>8900</v>
      </c>
      <c r="J369" s="41" t="n">
        <f aca="false">IF($A369="","",IFERROR(INDEX(Products!$D$2:$D$50,MATCH($E369,Products!$A$2:$A$50,0)),0))</f>
        <v>7000</v>
      </c>
      <c r="K369" s="41" t="n">
        <f aca="false">IF($A369="","",$F369*$I369*(1-$G369))</f>
        <v>32040</v>
      </c>
      <c r="L369" s="41" t="n">
        <f aca="false">IF($A369="","",$F369*$J369)</f>
        <v>28000</v>
      </c>
      <c r="M369" s="41" t="n">
        <f aca="false">IF($A369="","",$K369-$L369)</f>
        <v>4040</v>
      </c>
    </row>
    <row r="370" customFormat="false" ht="15" hidden="false" customHeight="false" outlineLevel="0" collapsed="false">
      <c r="A370" s="37" t="s">
        <v>469</v>
      </c>
      <c r="B370" s="38" t="n">
        <v>45961</v>
      </c>
      <c r="C370" s="37" t="s">
        <v>78</v>
      </c>
      <c r="D370" s="37" t="s">
        <v>79</v>
      </c>
      <c r="E370" s="37" t="s">
        <v>96</v>
      </c>
      <c r="F370" s="39" t="n">
        <v>10</v>
      </c>
      <c r="G370" s="40" t="n">
        <v>0</v>
      </c>
      <c r="H370" s="8" t="str">
        <f aca="false">IF($A370="","",IFERROR(INDEX(Products!$B$2:$B$50,MATCH($E370,Products!$A$2:$A$50,0)),"Unmapped"))</f>
        <v>Furniture</v>
      </c>
      <c r="I370" s="41" t="n">
        <f aca="false">IF($A370="","",IFERROR(INDEX(Products!$C$2:$C$50,MATCH($E370,Products!$A$2:$A$50,0)),0))</f>
        <v>4800</v>
      </c>
      <c r="J370" s="41" t="n">
        <f aca="false">IF($A370="","",IFERROR(INDEX(Products!$D$2:$D$50,MATCH($E370,Products!$A$2:$A$50,0)),0))</f>
        <v>3500</v>
      </c>
      <c r="K370" s="41" t="n">
        <f aca="false">IF($A370="","",$F370*$I370*(1-$G370))</f>
        <v>48000</v>
      </c>
      <c r="L370" s="41" t="n">
        <f aca="false">IF($A370="","",$F370*$J370)</f>
        <v>35000</v>
      </c>
      <c r="M370" s="41" t="n">
        <f aca="false">IF($A370="","",$K370-$L370)</f>
        <v>13000</v>
      </c>
    </row>
    <row r="371" customFormat="false" ht="15" hidden="false" customHeight="false" outlineLevel="0" collapsed="false">
      <c r="A371" s="37" t="s">
        <v>470</v>
      </c>
      <c r="B371" s="38" t="n">
        <v>45961</v>
      </c>
      <c r="C371" s="37" t="s">
        <v>82</v>
      </c>
      <c r="D371" s="37" t="s">
        <v>83</v>
      </c>
      <c r="E371" s="37" t="s">
        <v>114</v>
      </c>
      <c r="F371" s="39" t="n">
        <v>11</v>
      </c>
      <c r="G371" s="40" t="n">
        <v>0.1</v>
      </c>
      <c r="H371" s="8" t="str">
        <f aca="false">IF($A371="","",IFERROR(INDEX(Products!$B$2:$B$50,MATCH($E371,Products!$A$2:$A$50,0)),"Unmapped"))</f>
        <v>Pantry</v>
      </c>
      <c r="I371" s="41" t="n">
        <f aca="false">IF($A371="","",IFERROR(INDEX(Products!$C$2:$C$50,MATCH($E371,Products!$A$2:$A$50,0)),0))</f>
        <v>1500</v>
      </c>
      <c r="J371" s="41" t="n">
        <f aca="false">IF($A371="","",IFERROR(INDEX(Products!$D$2:$D$50,MATCH($E371,Products!$A$2:$A$50,0)),0))</f>
        <v>1100</v>
      </c>
      <c r="K371" s="41" t="n">
        <f aca="false">IF($A371="","",$F371*$I371*(1-$G371))</f>
        <v>14850</v>
      </c>
      <c r="L371" s="41" t="n">
        <f aca="false">IF($A371="","",$F371*$J371)</f>
        <v>12100</v>
      </c>
      <c r="M371" s="41" t="n">
        <f aca="false">IF($A371="","",$K371-$L371)</f>
        <v>2750</v>
      </c>
    </row>
    <row r="372" customFormat="false" ht="15" hidden="false" customHeight="false" outlineLevel="0" collapsed="false">
      <c r="A372" s="37" t="s">
        <v>471</v>
      </c>
      <c r="B372" s="38" t="n">
        <v>45961</v>
      </c>
      <c r="C372" s="37" t="s">
        <v>78</v>
      </c>
      <c r="D372" s="37" t="s">
        <v>86</v>
      </c>
      <c r="E372" s="37" t="s">
        <v>90</v>
      </c>
      <c r="F372" s="39" t="n">
        <v>112</v>
      </c>
      <c r="G372" s="40" t="n">
        <v>0.05</v>
      </c>
      <c r="H372" s="8" t="str">
        <f aca="false">IF($A372="","",IFERROR(INDEX(Products!$B$2:$B$50,MATCH($E372,Products!$A$2:$A$50,0)),"Unmapped"))</f>
        <v>Stationery</v>
      </c>
      <c r="I372" s="41" t="n">
        <f aca="false">IF($A372="","",IFERROR(INDEX(Products!$C$2:$C$50,MATCH($E372,Products!$A$2:$A$50,0)),0))</f>
        <v>120</v>
      </c>
      <c r="J372" s="41" t="n">
        <f aca="false">IF($A372="","",IFERROR(INDEX(Products!$D$2:$D$50,MATCH($E372,Products!$A$2:$A$50,0)),0))</f>
        <v>80</v>
      </c>
      <c r="K372" s="41" t="n">
        <f aca="false">IF($A372="","",$F372*$I372*(1-$G372))</f>
        <v>12768</v>
      </c>
      <c r="L372" s="41" t="n">
        <f aca="false">IF($A372="","",$F372*$J372)</f>
        <v>8960</v>
      </c>
      <c r="M372" s="41" t="n">
        <f aca="false">IF($A372="","",$K372-$L372)</f>
        <v>3808</v>
      </c>
    </row>
    <row r="373" customFormat="false" ht="15" hidden="false" customHeight="false" outlineLevel="0" collapsed="false">
      <c r="A373" s="37" t="s">
        <v>472</v>
      </c>
      <c r="B373" s="38" t="n">
        <v>45961</v>
      </c>
      <c r="C373" s="37" t="s">
        <v>88</v>
      </c>
      <c r="D373" s="37" t="s">
        <v>89</v>
      </c>
      <c r="E373" s="37" t="s">
        <v>103</v>
      </c>
      <c r="F373" s="39" t="n">
        <v>28</v>
      </c>
      <c r="G373" s="40" t="n">
        <v>0.05</v>
      </c>
      <c r="H373" s="8" t="str">
        <f aca="false">IF($A373="","",IFERROR(INDEX(Products!$B$2:$B$50,MATCH($E373,Products!$A$2:$A$50,0)),"Unmapped"))</f>
        <v>Electronics</v>
      </c>
      <c r="I373" s="41" t="n">
        <f aca="false">IF($A373="","",IFERROR(INDEX(Products!$C$2:$C$50,MATCH($E373,Products!$A$2:$A$50,0)),0))</f>
        <v>900</v>
      </c>
      <c r="J373" s="41" t="n">
        <f aca="false">IF($A373="","",IFERROR(INDEX(Products!$D$2:$D$50,MATCH($E373,Products!$A$2:$A$50,0)),0))</f>
        <v>620</v>
      </c>
      <c r="K373" s="41" t="n">
        <f aca="false">IF($A373="","",$F373*$I373*(1-$G373))</f>
        <v>23940</v>
      </c>
      <c r="L373" s="41" t="n">
        <f aca="false">IF($A373="","",$F373*$J373)</f>
        <v>17360</v>
      </c>
      <c r="M373" s="41" t="n">
        <f aca="false">IF($A373="","",$K373-$L373)</f>
        <v>6580</v>
      </c>
    </row>
    <row r="374" customFormat="false" ht="15" hidden="false" customHeight="false" outlineLevel="0" collapsed="false">
      <c r="A374" s="37" t="s">
        <v>473</v>
      </c>
      <c r="B374" s="38" t="n">
        <v>45961</v>
      </c>
      <c r="C374" s="37" t="s">
        <v>82</v>
      </c>
      <c r="D374" s="37" t="s">
        <v>83</v>
      </c>
      <c r="E374" s="37" t="s">
        <v>121</v>
      </c>
      <c r="F374" s="39" t="n">
        <v>10</v>
      </c>
      <c r="G374" s="40" t="n">
        <v>0.1</v>
      </c>
      <c r="H374" s="8" t="str">
        <f aca="false">IF($A374="","",IFERROR(INDEX(Products!$B$2:$B$50,MATCH($E374,Products!$A$2:$A$50,0)),"Unmapped"))</f>
        <v>Electronics</v>
      </c>
      <c r="I374" s="41" t="n">
        <f aca="false">IF($A374="","",IFERROR(INDEX(Products!$C$2:$C$50,MATCH($E374,Products!$A$2:$A$50,0)),0))</f>
        <v>650</v>
      </c>
      <c r="J374" s="41" t="n">
        <f aca="false">IF($A374="","",IFERROR(INDEX(Products!$D$2:$D$50,MATCH($E374,Products!$A$2:$A$50,0)),0))</f>
        <v>430</v>
      </c>
      <c r="K374" s="41" t="n">
        <f aca="false">IF($A374="","",$F374*$I374*(1-$G374))</f>
        <v>5850</v>
      </c>
      <c r="L374" s="41" t="n">
        <f aca="false">IF($A374="","",$F374*$J374)</f>
        <v>4300</v>
      </c>
      <c r="M374" s="41" t="n">
        <f aca="false">IF($A374="","",$K374-$L374)</f>
        <v>1550</v>
      </c>
    </row>
    <row r="375" customFormat="false" ht="15" hidden="false" customHeight="false" outlineLevel="0" collapsed="false">
      <c r="A375" s="37" t="s">
        <v>474</v>
      </c>
      <c r="B375" s="38" t="n">
        <v>45962</v>
      </c>
      <c r="C375" s="37" t="s">
        <v>78</v>
      </c>
      <c r="D375" s="37" t="s">
        <v>79</v>
      </c>
      <c r="E375" s="37" t="s">
        <v>103</v>
      </c>
      <c r="F375" s="39" t="n">
        <v>15</v>
      </c>
      <c r="G375" s="40" t="n">
        <v>0.1</v>
      </c>
      <c r="H375" s="8" t="str">
        <f aca="false">IF($A375="","",IFERROR(INDEX(Products!$B$2:$B$50,MATCH($E375,Products!$A$2:$A$50,0)),"Unmapped"))</f>
        <v>Electronics</v>
      </c>
      <c r="I375" s="41" t="n">
        <f aca="false">IF($A375="","",IFERROR(INDEX(Products!$C$2:$C$50,MATCH($E375,Products!$A$2:$A$50,0)),0))</f>
        <v>900</v>
      </c>
      <c r="J375" s="41" t="n">
        <f aca="false">IF($A375="","",IFERROR(INDEX(Products!$D$2:$D$50,MATCH($E375,Products!$A$2:$A$50,0)),0))</f>
        <v>620</v>
      </c>
      <c r="K375" s="41" t="n">
        <f aca="false">IF($A375="","",$F375*$I375*(1-$G375))</f>
        <v>12150</v>
      </c>
      <c r="L375" s="41" t="n">
        <f aca="false">IF($A375="","",$F375*$J375)</f>
        <v>9300</v>
      </c>
      <c r="M375" s="41" t="n">
        <f aca="false">IF($A375="","",$K375-$L375)</f>
        <v>2850</v>
      </c>
    </row>
    <row r="376" customFormat="false" ht="15" hidden="false" customHeight="false" outlineLevel="0" collapsed="false">
      <c r="A376" s="37" t="s">
        <v>475</v>
      </c>
      <c r="B376" s="38" t="n">
        <v>45962</v>
      </c>
      <c r="C376" s="37" t="s">
        <v>88</v>
      </c>
      <c r="D376" s="37" t="s">
        <v>89</v>
      </c>
      <c r="E376" s="37" t="s">
        <v>84</v>
      </c>
      <c r="F376" s="39" t="n">
        <v>68</v>
      </c>
      <c r="G376" s="40" t="n">
        <v>0.05</v>
      </c>
      <c r="H376" s="8" t="str">
        <f aca="false">IF($A376="","",IFERROR(INDEX(Products!$B$2:$B$50,MATCH($E376,Products!$A$2:$A$50,0)),"Unmapped"))</f>
        <v>Stationery</v>
      </c>
      <c r="I376" s="41" t="n">
        <f aca="false">IF($A376="","",IFERROR(INDEX(Products!$C$2:$C$50,MATCH($E376,Products!$A$2:$A$50,0)),0))</f>
        <v>350</v>
      </c>
      <c r="J376" s="41" t="n">
        <f aca="false">IF($A376="","",IFERROR(INDEX(Products!$D$2:$D$50,MATCH($E376,Products!$A$2:$A$50,0)),0))</f>
        <v>240</v>
      </c>
      <c r="K376" s="41" t="n">
        <f aca="false">IF($A376="","",$F376*$I376*(1-$G376))</f>
        <v>22610</v>
      </c>
      <c r="L376" s="41" t="n">
        <f aca="false">IF($A376="","",$F376*$J376)</f>
        <v>16320</v>
      </c>
      <c r="M376" s="41" t="n">
        <f aca="false">IF($A376="","",$K376-$L376)</f>
        <v>6290</v>
      </c>
    </row>
    <row r="377" customFormat="false" ht="15" hidden="false" customHeight="false" outlineLevel="0" collapsed="false">
      <c r="A377" s="37" t="s">
        <v>476</v>
      </c>
      <c r="B377" s="38" t="n">
        <v>45962</v>
      </c>
      <c r="C377" s="37" t="s">
        <v>78</v>
      </c>
      <c r="D377" s="37" t="s">
        <v>86</v>
      </c>
      <c r="E377" s="37" t="s">
        <v>96</v>
      </c>
      <c r="F377" s="39" t="n">
        <v>11</v>
      </c>
      <c r="G377" s="40" t="n">
        <v>0.1</v>
      </c>
      <c r="H377" s="8" t="str">
        <f aca="false">IF($A377="","",IFERROR(INDEX(Products!$B$2:$B$50,MATCH($E377,Products!$A$2:$A$50,0)),"Unmapped"))</f>
        <v>Furniture</v>
      </c>
      <c r="I377" s="41" t="n">
        <f aca="false">IF($A377="","",IFERROR(INDEX(Products!$C$2:$C$50,MATCH($E377,Products!$A$2:$A$50,0)),0))</f>
        <v>4800</v>
      </c>
      <c r="J377" s="41" t="n">
        <f aca="false">IF($A377="","",IFERROR(INDEX(Products!$D$2:$D$50,MATCH($E377,Products!$A$2:$A$50,0)),0))</f>
        <v>3500</v>
      </c>
      <c r="K377" s="41" t="n">
        <f aca="false">IF($A377="","",$F377*$I377*(1-$G377))</f>
        <v>47520</v>
      </c>
      <c r="L377" s="41" t="n">
        <f aca="false">IF($A377="","",$F377*$J377)</f>
        <v>38500</v>
      </c>
      <c r="M377" s="41" t="n">
        <f aca="false">IF($A377="","",$K377-$L377)</f>
        <v>9020</v>
      </c>
    </row>
    <row r="378" customFormat="false" ht="15" hidden="false" customHeight="false" outlineLevel="0" collapsed="false">
      <c r="A378" s="37" t="s">
        <v>477</v>
      </c>
      <c r="B378" s="38" t="n">
        <v>45963</v>
      </c>
      <c r="C378" s="37" t="s">
        <v>88</v>
      </c>
      <c r="D378" s="37" t="s">
        <v>111</v>
      </c>
      <c r="E378" s="37" t="s">
        <v>134</v>
      </c>
      <c r="F378" s="39" t="n">
        <v>3</v>
      </c>
      <c r="G378" s="40" t="n">
        <v>0</v>
      </c>
      <c r="H378" s="8" t="str">
        <f aca="false">IF($A378="","",IFERROR(INDEX(Products!$B$2:$B$50,MATCH($E378,Products!$A$2:$A$50,0)),"Unmapped"))</f>
        <v>Furniture</v>
      </c>
      <c r="I378" s="41" t="n">
        <f aca="false">IF($A378="","",IFERROR(INDEX(Products!$C$2:$C$50,MATCH($E378,Products!$A$2:$A$50,0)),0))</f>
        <v>6100</v>
      </c>
      <c r="J378" s="41" t="n">
        <f aca="false">IF($A378="","",IFERROR(INDEX(Products!$D$2:$D$50,MATCH($E378,Products!$A$2:$A$50,0)),0))</f>
        <v>4500</v>
      </c>
      <c r="K378" s="41" t="n">
        <f aca="false">IF($A378="","",$F378*$I378*(1-$G378))</f>
        <v>18300</v>
      </c>
      <c r="L378" s="41" t="n">
        <f aca="false">IF($A378="","",$F378*$J378)</f>
        <v>13500</v>
      </c>
      <c r="M378" s="41" t="n">
        <f aca="false">IF($A378="","",$K378-$L378)</f>
        <v>4800</v>
      </c>
    </row>
    <row r="379" customFormat="false" ht="15" hidden="false" customHeight="false" outlineLevel="0" collapsed="false">
      <c r="A379" s="37" t="s">
        <v>478</v>
      </c>
      <c r="B379" s="38" t="n">
        <v>45963</v>
      </c>
      <c r="C379" s="37" t="s">
        <v>78</v>
      </c>
      <c r="D379" s="37" t="s">
        <v>86</v>
      </c>
      <c r="E379" s="37" t="s">
        <v>157</v>
      </c>
      <c r="F379" s="39" t="n">
        <v>8</v>
      </c>
      <c r="G379" s="40" t="n">
        <v>0.1</v>
      </c>
      <c r="H379" s="8" t="str">
        <f aca="false">IF($A379="","",IFERROR(INDEX(Products!$B$2:$B$50,MATCH($E379,Products!$A$2:$A$50,0)),"Unmapped"))</f>
        <v>Electronics</v>
      </c>
      <c r="I379" s="41" t="n">
        <f aca="false">IF($A379="","",IFERROR(INDEX(Products!$C$2:$C$50,MATCH($E379,Products!$A$2:$A$50,0)),0))</f>
        <v>8900</v>
      </c>
      <c r="J379" s="41" t="n">
        <f aca="false">IF($A379="","",IFERROR(INDEX(Products!$D$2:$D$50,MATCH($E379,Products!$A$2:$A$50,0)),0))</f>
        <v>7000</v>
      </c>
      <c r="K379" s="41" t="n">
        <f aca="false">IF($A379="","",$F379*$I379*(1-$G379))</f>
        <v>64080</v>
      </c>
      <c r="L379" s="41" t="n">
        <f aca="false">IF($A379="","",$F379*$J379)</f>
        <v>56000</v>
      </c>
      <c r="M379" s="41" t="n">
        <f aca="false">IF($A379="","",$K379-$L379)</f>
        <v>8080</v>
      </c>
    </row>
    <row r="380" customFormat="false" ht="15" hidden="false" customHeight="false" outlineLevel="0" collapsed="false">
      <c r="A380" s="37" t="s">
        <v>479</v>
      </c>
      <c r="B380" s="38" t="n">
        <v>45963</v>
      </c>
      <c r="C380" s="37" t="s">
        <v>78</v>
      </c>
      <c r="D380" s="37" t="s">
        <v>79</v>
      </c>
      <c r="E380" s="37" t="s">
        <v>94</v>
      </c>
      <c r="F380" s="39" t="n">
        <v>176</v>
      </c>
      <c r="G380" s="40" t="n">
        <v>0.05</v>
      </c>
      <c r="H380" s="8" t="str">
        <f aca="false">IF($A380="","",IFERROR(INDEX(Products!$B$2:$B$50,MATCH($E380,Products!$A$2:$A$50,0)),"Unmapped"))</f>
        <v>Stationery</v>
      </c>
      <c r="I380" s="41" t="n">
        <f aca="false">IF($A380="","",IFERROR(INDEX(Products!$C$2:$C$50,MATCH($E380,Products!$A$2:$A$50,0)),0))</f>
        <v>280</v>
      </c>
      <c r="J380" s="41" t="n">
        <f aca="false">IF($A380="","",IFERROR(INDEX(Products!$D$2:$D$50,MATCH($E380,Products!$A$2:$A$50,0)),0))</f>
        <v>210</v>
      </c>
      <c r="K380" s="41" t="n">
        <f aca="false">IF($A380="","",$F380*$I380*(1-$G380))</f>
        <v>46816</v>
      </c>
      <c r="L380" s="41" t="n">
        <f aca="false">IF($A380="","",$F380*$J380)</f>
        <v>36960</v>
      </c>
      <c r="M380" s="41" t="n">
        <f aca="false">IF($A380="","",$K380-$L380)</f>
        <v>9856</v>
      </c>
    </row>
    <row r="381" customFormat="false" ht="15" hidden="false" customHeight="false" outlineLevel="0" collapsed="false">
      <c r="A381" s="37" t="s">
        <v>480</v>
      </c>
      <c r="B381" s="38" t="n">
        <v>45964</v>
      </c>
      <c r="C381" s="37" t="s">
        <v>88</v>
      </c>
      <c r="D381" s="37" t="s">
        <v>89</v>
      </c>
      <c r="E381" s="37" t="s">
        <v>103</v>
      </c>
      <c r="F381" s="39" t="n">
        <v>22</v>
      </c>
      <c r="G381" s="40" t="n">
        <v>0.05</v>
      </c>
      <c r="H381" s="8" t="str">
        <f aca="false">IF($A381="","",IFERROR(INDEX(Products!$B$2:$B$50,MATCH($E381,Products!$A$2:$A$50,0)),"Unmapped"))</f>
        <v>Electronics</v>
      </c>
      <c r="I381" s="41" t="n">
        <f aca="false">IF($A381="","",IFERROR(INDEX(Products!$C$2:$C$50,MATCH($E381,Products!$A$2:$A$50,0)),0))</f>
        <v>900</v>
      </c>
      <c r="J381" s="41" t="n">
        <f aca="false">IF($A381="","",IFERROR(INDEX(Products!$D$2:$D$50,MATCH($E381,Products!$A$2:$A$50,0)),0))</f>
        <v>620</v>
      </c>
      <c r="K381" s="41" t="n">
        <f aca="false">IF($A381="","",$F381*$I381*(1-$G381))</f>
        <v>18810</v>
      </c>
      <c r="L381" s="41" t="n">
        <f aca="false">IF($A381="","",$F381*$J381)</f>
        <v>13640</v>
      </c>
      <c r="M381" s="41" t="n">
        <f aca="false">IF($A381="","",$K381-$L381)</f>
        <v>5170</v>
      </c>
    </row>
    <row r="382" customFormat="false" ht="15" hidden="false" customHeight="false" outlineLevel="0" collapsed="false">
      <c r="A382" s="37" t="s">
        <v>481</v>
      </c>
      <c r="B382" s="38" t="n">
        <v>45964</v>
      </c>
      <c r="C382" s="37" t="s">
        <v>82</v>
      </c>
      <c r="D382" s="37" t="s">
        <v>93</v>
      </c>
      <c r="E382" s="37" t="s">
        <v>84</v>
      </c>
      <c r="F382" s="39" t="n">
        <v>191</v>
      </c>
      <c r="G382" s="40" t="n">
        <v>0</v>
      </c>
      <c r="H382" s="8" t="str">
        <f aca="false">IF($A382="","",IFERROR(INDEX(Products!$B$2:$B$50,MATCH($E382,Products!$A$2:$A$50,0)),"Unmapped"))</f>
        <v>Stationery</v>
      </c>
      <c r="I382" s="41" t="n">
        <f aca="false">IF($A382="","",IFERROR(INDEX(Products!$C$2:$C$50,MATCH($E382,Products!$A$2:$A$50,0)),0))</f>
        <v>350</v>
      </c>
      <c r="J382" s="41" t="n">
        <f aca="false">IF($A382="","",IFERROR(INDEX(Products!$D$2:$D$50,MATCH($E382,Products!$A$2:$A$50,0)),0))</f>
        <v>240</v>
      </c>
      <c r="K382" s="41" t="n">
        <f aca="false">IF($A382="","",$F382*$I382*(1-$G382))</f>
        <v>66850</v>
      </c>
      <c r="L382" s="41" t="n">
        <f aca="false">IF($A382="","",$F382*$J382)</f>
        <v>45840</v>
      </c>
      <c r="M382" s="41" t="n">
        <f aca="false">IF($A382="","",$K382-$L382)</f>
        <v>21010</v>
      </c>
    </row>
    <row r="383" customFormat="false" ht="15" hidden="false" customHeight="false" outlineLevel="0" collapsed="false">
      <c r="A383" s="37" t="s">
        <v>482</v>
      </c>
      <c r="B383" s="38" t="n">
        <v>45964</v>
      </c>
      <c r="C383" s="37" t="s">
        <v>88</v>
      </c>
      <c r="D383" s="37" t="s">
        <v>89</v>
      </c>
      <c r="E383" s="37" t="s">
        <v>94</v>
      </c>
      <c r="F383" s="39" t="n">
        <v>71</v>
      </c>
      <c r="G383" s="40" t="n">
        <v>0</v>
      </c>
      <c r="H383" s="8" t="str">
        <f aca="false">IF($A383="","",IFERROR(INDEX(Products!$B$2:$B$50,MATCH($E383,Products!$A$2:$A$50,0)),"Unmapped"))</f>
        <v>Stationery</v>
      </c>
      <c r="I383" s="41" t="n">
        <f aca="false">IF($A383="","",IFERROR(INDEX(Products!$C$2:$C$50,MATCH($E383,Products!$A$2:$A$50,0)),0))</f>
        <v>280</v>
      </c>
      <c r="J383" s="41" t="n">
        <f aca="false">IF($A383="","",IFERROR(INDEX(Products!$D$2:$D$50,MATCH($E383,Products!$A$2:$A$50,0)),0))</f>
        <v>210</v>
      </c>
      <c r="K383" s="41" t="n">
        <f aca="false">IF($A383="","",$F383*$I383*(1-$G383))</f>
        <v>19880</v>
      </c>
      <c r="L383" s="41" t="n">
        <f aca="false">IF($A383="","",$F383*$J383)</f>
        <v>14910</v>
      </c>
      <c r="M383" s="41" t="n">
        <f aca="false">IF($A383="","",$K383-$L383)</f>
        <v>4970</v>
      </c>
    </row>
    <row r="384" customFormat="false" ht="15" hidden="false" customHeight="false" outlineLevel="0" collapsed="false">
      <c r="A384" s="37" t="s">
        <v>483</v>
      </c>
      <c r="B384" s="38" t="n">
        <v>45964</v>
      </c>
      <c r="C384" s="37" t="s">
        <v>78</v>
      </c>
      <c r="D384" s="37" t="s">
        <v>79</v>
      </c>
      <c r="E384" s="37" t="s">
        <v>107</v>
      </c>
      <c r="F384" s="39" t="n">
        <v>13</v>
      </c>
      <c r="G384" s="40" t="n">
        <v>0.05</v>
      </c>
      <c r="H384" s="8" t="str">
        <f aca="false">IF($A384="","",IFERROR(INDEX(Products!$B$2:$B$50,MATCH($E384,Products!$A$2:$A$50,0)),"Unmapped"))</f>
        <v>Furniture</v>
      </c>
      <c r="I384" s="41" t="n">
        <f aca="false">IF($A384="","",IFERROR(INDEX(Products!$C$2:$C$50,MATCH($E384,Products!$A$2:$A$50,0)),0))</f>
        <v>7200</v>
      </c>
      <c r="J384" s="41" t="n">
        <f aca="false">IF($A384="","",IFERROR(INDEX(Products!$D$2:$D$50,MATCH($E384,Products!$A$2:$A$50,0)),0))</f>
        <v>5400</v>
      </c>
      <c r="K384" s="41" t="n">
        <f aca="false">IF($A384="","",$F384*$I384*(1-$G384))</f>
        <v>88920</v>
      </c>
      <c r="L384" s="41" t="n">
        <f aca="false">IF($A384="","",$F384*$J384)</f>
        <v>70200</v>
      </c>
      <c r="M384" s="41" t="n">
        <f aca="false">IF($A384="","",$K384-$L384)</f>
        <v>18720</v>
      </c>
    </row>
    <row r="385" customFormat="false" ht="15" hidden="false" customHeight="false" outlineLevel="0" collapsed="false">
      <c r="A385" s="37" t="s">
        <v>484</v>
      </c>
      <c r="B385" s="38" t="n">
        <v>45964</v>
      </c>
      <c r="C385" s="37" t="s">
        <v>82</v>
      </c>
      <c r="D385" s="37" t="s">
        <v>93</v>
      </c>
      <c r="E385" s="37" t="s">
        <v>94</v>
      </c>
      <c r="F385" s="39" t="n">
        <v>164</v>
      </c>
      <c r="G385" s="40" t="n">
        <v>0</v>
      </c>
      <c r="H385" s="8" t="str">
        <f aca="false">IF($A385="","",IFERROR(INDEX(Products!$B$2:$B$50,MATCH($E385,Products!$A$2:$A$50,0)),"Unmapped"))</f>
        <v>Stationery</v>
      </c>
      <c r="I385" s="41" t="n">
        <f aca="false">IF($A385="","",IFERROR(INDEX(Products!$C$2:$C$50,MATCH($E385,Products!$A$2:$A$50,0)),0))</f>
        <v>280</v>
      </c>
      <c r="J385" s="41" t="n">
        <f aca="false">IF($A385="","",IFERROR(INDEX(Products!$D$2:$D$50,MATCH($E385,Products!$A$2:$A$50,0)),0))</f>
        <v>210</v>
      </c>
      <c r="K385" s="41" t="n">
        <f aca="false">IF($A385="","",$F385*$I385*(1-$G385))</f>
        <v>45920</v>
      </c>
      <c r="L385" s="41" t="n">
        <f aca="false">IF($A385="","",$F385*$J385)</f>
        <v>34440</v>
      </c>
      <c r="M385" s="41" t="n">
        <f aca="false">IF($A385="","",$K385-$L385)</f>
        <v>11480</v>
      </c>
    </row>
    <row r="386" customFormat="false" ht="15" hidden="false" customHeight="false" outlineLevel="0" collapsed="false">
      <c r="A386" s="37" t="s">
        <v>485</v>
      </c>
      <c r="B386" s="38" t="n">
        <v>45965</v>
      </c>
      <c r="C386" s="37" t="s">
        <v>82</v>
      </c>
      <c r="D386" s="37" t="s">
        <v>83</v>
      </c>
      <c r="E386" s="37" t="s">
        <v>121</v>
      </c>
      <c r="F386" s="39" t="n">
        <v>6</v>
      </c>
      <c r="G386" s="40" t="n">
        <v>0.05</v>
      </c>
      <c r="H386" s="8" t="str">
        <f aca="false">IF($A386="","",IFERROR(INDEX(Products!$B$2:$B$50,MATCH($E386,Products!$A$2:$A$50,0)),"Unmapped"))</f>
        <v>Electronics</v>
      </c>
      <c r="I386" s="41" t="n">
        <f aca="false">IF($A386="","",IFERROR(INDEX(Products!$C$2:$C$50,MATCH($E386,Products!$A$2:$A$50,0)),0))</f>
        <v>650</v>
      </c>
      <c r="J386" s="41" t="n">
        <f aca="false">IF($A386="","",IFERROR(INDEX(Products!$D$2:$D$50,MATCH($E386,Products!$A$2:$A$50,0)),0))</f>
        <v>430</v>
      </c>
      <c r="K386" s="41" t="n">
        <f aca="false">IF($A386="","",$F386*$I386*(1-$G386))</f>
        <v>3705</v>
      </c>
      <c r="L386" s="41" t="n">
        <f aca="false">IF($A386="","",$F386*$J386)</f>
        <v>2580</v>
      </c>
      <c r="M386" s="41" t="n">
        <f aca="false">IF($A386="","",$K386-$L386)</f>
        <v>1125</v>
      </c>
    </row>
    <row r="387" customFormat="false" ht="15" hidden="false" customHeight="false" outlineLevel="0" collapsed="false">
      <c r="A387" s="37" t="s">
        <v>486</v>
      </c>
      <c r="B387" s="38" t="n">
        <v>45965</v>
      </c>
      <c r="C387" s="37" t="s">
        <v>105</v>
      </c>
      <c r="D387" s="37" t="s">
        <v>116</v>
      </c>
      <c r="E387" s="37" t="s">
        <v>107</v>
      </c>
      <c r="F387" s="39" t="n">
        <v>11</v>
      </c>
      <c r="G387" s="40" t="n">
        <v>0</v>
      </c>
      <c r="H387" s="8" t="str">
        <f aca="false">IF($A387="","",IFERROR(INDEX(Products!$B$2:$B$50,MATCH($E387,Products!$A$2:$A$50,0)),"Unmapped"))</f>
        <v>Furniture</v>
      </c>
      <c r="I387" s="41" t="n">
        <f aca="false">IF($A387="","",IFERROR(INDEX(Products!$C$2:$C$50,MATCH($E387,Products!$A$2:$A$50,0)),0))</f>
        <v>7200</v>
      </c>
      <c r="J387" s="41" t="n">
        <f aca="false">IF($A387="","",IFERROR(INDEX(Products!$D$2:$D$50,MATCH($E387,Products!$A$2:$A$50,0)),0))</f>
        <v>5400</v>
      </c>
      <c r="K387" s="41" t="n">
        <f aca="false">IF($A387="","",$F387*$I387*(1-$G387))</f>
        <v>79200</v>
      </c>
      <c r="L387" s="41" t="n">
        <f aca="false">IF($A387="","",$F387*$J387)</f>
        <v>59400</v>
      </c>
      <c r="M387" s="41" t="n">
        <f aca="false">IF($A387="","",$K387-$L387)</f>
        <v>19800</v>
      </c>
    </row>
    <row r="388" customFormat="false" ht="15" hidden="false" customHeight="false" outlineLevel="0" collapsed="false">
      <c r="A388" s="37" t="s">
        <v>487</v>
      </c>
      <c r="B388" s="38" t="n">
        <v>45965</v>
      </c>
      <c r="C388" s="37" t="s">
        <v>105</v>
      </c>
      <c r="D388" s="37" t="s">
        <v>106</v>
      </c>
      <c r="E388" s="37" t="s">
        <v>96</v>
      </c>
      <c r="F388" s="39" t="n">
        <v>15</v>
      </c>
      <c r="G388" s="40" t="n">
        <v>0</v>
      </c>
      <c r="H388" s="8" t="str">
        <f aca="false">IF($A388="","",IFERROR(INDEX(Products!$B$2:$B$50,MATCH($E388,Products!$A$2:$A$50,0)),"Unmapped"))</f>
        <v>Furniture</v>
      </c>
      <c r="I388" s="41" t="n">
        <f aca="false">IF($A388="","",IFERROR(INDEX(Products!$C$2:$C$50,MATCH($E388,Products!$A$2:$A$50,0)),0))</f>
        <v>4800</v>
      </c>
      <c r="J388" s="41" t="n">
        <f aca="false">IF($A388="","",IFERROR(INDEX(Products!$D$2:$D$50,MATCH($E388,Products!$A$2:$A$50,0)),0))</f>
        <v>3500</v>
      </c>
      <c r="K388" s="41" t="n">
        <f aca="false">IF($A388="","",$F388*$I388*(1-$G388))</f>
        <v>72000</v>
      </c>
      <c r="L388" s="41" t="n">
        <f aca="false">IF($A388="","",$F388*$J388)</f>
        <v>52500</v>
      </c>
      <c r="M388" s="41" t="n">
        <f aca="false">IF($A388="","",$K388-$L388)</f>
        <v>19500</v>
      </c>
    </row>
    <row r="389" customFormat="false" ht="15" hidden="false" customHeight="false" outlineLevel="0" collapsed="false">
      <c r="A389" s="37" t="s">
        <v>488</v>
      </c>
      <c r="B389" s="38" t="n">
        <v>45966</v>
      </c>
      <c r="C389" s="37" t="s">
        <v>88</v>
      </c>
      <c r="D389" s="37" t="s">
        <v>89</v>
      </c>
      <c r="E389" s="37" t="s">
        <v>94</v>
      </c>
      <c r="F389" s="39" t="n">
        <v>157</v>
      </c>
      <c r="G389" s="40" t="n">
        <v>0</v>
      </c>
      <c r="H389" s="8" t="str">
        <f aca="false">IF($A389="","",IFERROR(INDEX(Products!$B$2:$B$50,MATCH($E389,Products!$A$2:$A$50,0)),"Unmapped"))</f>
        <v>Stationery</v>
      </c>
      <c r="I389" s="41" t="n">
        <f aca="false">IF($A389="","",IFERROR(INDEX(Products!$C$2:$C$50,MATCH($E389,Products!$A$2:$A$50,0)),0))</f>
        <v>280</v>
      </c>
      <c r="J389" s="41" t="n">
        <f aca="false">IF($A389="","",IFERROR(INDEX(Products!$D$2:$D$50,MATCH($E389,Products!$A$2:$A$50,0)),0))</f>
        <v>210</v>
      </c>
      <c r="K389" s="41" t="n">
        <f aca="false">IF($A389="","",$F389*$I389*(1-$G389))</f>
        <v>43960</v>
      </c>
      <c r="L389" s="41" t="n">
        <f aca="false">IF($A389="","",$F389*$J389)</f>
        <v>32970</v>
      </c>
      <c r="M389" s="41" t="n">
        <f aca="false">IF($A389="","",$K389-$L389)</f>
        <v>10990</v>
      </c>
    </row>
    <row r="390" customFormat="false" ht="15" hidden="false" customHeight="false" outlineLevel="0" collapsed="false">
      <c r="A390" s="37" t="s">
        <v>489</v>
      </c>
      <c r="B390" s="38" t="n">
        <v>45967</v>
      </c>
      <c r="C390" s="37" t="s">
        <v>105</v>
      </c>
      <c r="D390" s="37" t="s">
        <v>116</v>
      </c>
      <c r="E390" s="37" t="s">
        <v>80</v>
      </c>
      <c r="F390" s="39" t="n">
        <v>35</v>
      </c>
      <c r="G390" s="40" t="n">
        <v>0.05</v>
      </c>
      <c r="H390" s="8" t="str">
        <f aca="false">IF($A390="","",IFERROR(INDEX(Products!$B$2:$B$50,MATCH($E390,Products!$A$2:$A$50,0)),"Unmapped"))</f>
        <v>Pantry</v>
      </c>
      <c r="I390" s="41" t="n">
        <f aca="false">IF($A390="","",IFERROR(INDEX(Products!$C$2:$C$50,MATCH($E390,Products!$A$2:$A$50,0)),0))</f>
        <v>5600</v>
      </c>
      <c r="J390" s="41" t="n">
        <f aca="false">IF($A390="","",IFERROR(INDEX(Products!$D$2:$D$50,MATCH($E390,Products!$A$2:$A$50,0)),0))</f>
        <v>4200</v>
      </c>
      <c r="K390" s="41" t="n">
        <f aca="false">IF($A390="","",$F390*$I390*(1-$G390))</f>
        <v>186200</v>
      </c>
      <c r="L390" s="41" t="n">
        <f aca="false">IF($A390="","",$F390*$J390)</f>
        <v>147000</v>
      </c>
      <c r="M390" s="41" t="n">
        <f aca="false">IF($A390="","",$K390-$L390)</f>
        <v>39200</v>
      </c>
    </row>
    <row r="391" customFormat="false" ht="15" hidden="false" customHeight="false" outlineLevel="0" collapsed="false">
      <c r="A391" s="37" t="s">
        <v>490</v>
      </c>
      <c r="B391" s="38" t="n">
        <v>45967</v>
      </c>
      <c r="C391" s="37" t="s">
        <v>105</v>
      </c>
      <c r="D391" s="37" t="s">
        <v>116</v>
      </c>
      <c r="E391" s="37" t="s">
        <v>90</v>
      </c>
      <c r="F391" s="39" t="n">
        <v>60</v>
      </c>
      <c r="G391" s="40" t="n">
        <v>0.05</v>
      </c>
      <c r="H391" s="8" t="str">
        <f aca="false">IF($A391="","",IFERROR(INDEX(Products!$B$2:$B$50,MATCH($E391,Products!$A$2:$A$50,0)),"Unmapped"))</f>
        <v>Stationery</v>
      </c>
      <c r="I391" s="41" t="n">
        <f aca="false">IF($A391="","",IFERROR(INDEX(Products!$C$2:$C$50,MATCH($E391,Products!$A$2:$A$50,0)),0))</f>
        <v>120</v>
      </c>
      <c r="J391" s="41" t="n">
        <f aca="false">IF($A391="","",IFERROR(INDEX(Products!$D$2:$D$50,MATCH($E391,Products!$A$2:$A$50,0)),0))</f>
        <v>80</v>
      </c>
      <c r="K391" s="41" t="n">
        <f aca="false">IF($A391="","",$F391*$I391*(1-$G391))</f>
        <v>6840</v>
      </c>
      <c r="L391" s="41" t="n">
        <f aca="false">IF($A391="","",$F391*$J391)</f>
        <v>4800</v>
      </c>
      <c r="M391" s="41" t="n">
        <f aca="false">IF($A391="","",$K391-$L391)</f>
        <v>2040</v>
      </c>
    </row>
    <row r="392" customFormat="false" ht="15" hidden="false" customHeight="false" outlineLevel="0" collapsed="false">
      <c r="A392" s="37" t="s">
        <v>491</v>
      </c>
      <c r="B392" s="38" t="n">
        <v>45968</v>
      </c>
      <c r="C392" s="37" t="s">
        <v>82</v>
      </c>
      <c r="D392" s="37" t="s">
        <v>83</v>
      </c>
      <c r="E392" s="37" t="s">
        <v>121</v>
      </c>
      <c r="F392" s="39" t="n">
        <v>10</v>
      </c>
      <c r="G392" s="40" t="n">
        <v>0.1</v>
      </c>
      <c r="H392" s="8" t="str">
        <f aca="false">IF($A392="","",IFERROR(INDEX(Products!$B$2:$B$50,MATCH($E392,Products!$A$2:$A$50,0)),"Unmapped"))</f>
        <v>Electronics</v>
      </c>
      <c r="I392" s="41" t="n">
        <f aca="false">IF($A392="","",IFERROR(INDEX(Products!$C$2:$C$50,MATCH($E392,Products!$A$2:$A$50,0)),0))</f>
        <v>650</v>
      </c>
      <c r="J392" s="41" t="n">
        <f aca="false">IF($A392="","",IFERROR(INDEX(Products!$D$2:$D$50,MATCH($E392,Products!$A$2:$A$50,0)),0))</f>
        <v>430</v>
      </c>
      <c r="K392" s="41" t="n">
        <f aca="false">IF($A392="","",$F392*$I392*(1-$G392))</f>
        <v>5850</v>
      </c>
      <c r="L392" s="41" t="n">
        <f aca="false">IF($A392="","",$F392*$J392)</f>
        <v>4300</v>
      </c>
      <c r="M392" s="41" t="n">
        <f aca="false">IF($A392="","",$K392-$L392)</f>
        <v>1550</v>
      </c>
    </row>
    <row r="393" customFormat="false" ht="15" hidden="false" customHeight="false" outlineLevel="0" collapsed="false">
      <c r="A393" s="37" t="s">
        <v>492</v>
      </c>
      <c r="B393" s="38" t="n">
        <v>45970</v>
      </c>
      <c r="C393" s="37" t="s">
        <v>88</v>
      </c>
      <c r="D393" s="37" t="s">
        <v>89</v>
      </c>
      <c r="E393" s="37" t="s">
        <v>90</v>
      </c>
      <c r="F393" s="39" t="n">
        <v>40</v>
      </c>
      <c r="G393" s="40" t="n">
        <v>0.05</v>
      </c>
      <c r="H393" s="8" t="str">
        <f aca="false">IF($A393="","",IFERROR(INDEX(Products!$B$2:$B$50,MATCH($E393,Products!$A$2:$A$50,0)),"Unmapped"))</f>
        <v>Stationery</v>
      </c>
      <c r="I393" s="41" t="n">
        <f aca="false">IF($A393="","",IFERROR(INDEX(Products!$C$2:$C$50,MATCH($E393,Products!$A$2:$A$50,0)),0))</f>
        <v>120</v>
      </c>
      <c r="J393" s="41" t="n">
        <f aca="false">IF($A393="","",IFERROR(INDEX(Products!$D$2:$D$50,MATCH($E393,Products!$A$2:$A$50,0)),0))</f>
        <v>80</v>
      </c>
      <c r="K393" s="41" t="n">
        <f aca="false">IF($A393="","",$F393*$I393*(1-$G393))</f>
        <v>4560</v>
      </c>
      <c r="L393" s="41" t="n">
        <f aca="false">IF($A393="","",$F393*$J393)</f>
        <v>3200</v>
      </c>
      <c r="M393" s="41" t="n">
        <f aca="false">IF($A393="","",$K393-$L393)</f>
        <v>1360</v>
      </c>
    </row>
    <row r="394" customFormat="false" ht="15" hidden="false" customHeight="false" outlineLevel="0" collapsed="false">
      <c r="A394" s="37" t="s">
        <v>493</v>
      </c>
      <c r="B394" s="38" t="n">
        <v>45971</v>
      </c>
      <c r="C394" s="37" t="s">
        <v>78</v>
      </c>
      <c r="D394" s="37" t="s">
        <v>79</v>
      </c>
      <c r="E394" s="37" t="s">
        <v>103</v>
      </c>
      <c r="F394" s="39" t="n">
        <v>21</v>
      </c>
      <c r="G394" s="40" t="n">
        <v>0.05</v>
      </c>
      <c r="H394" s="8" t="str">
        <f aca="false">IF($A394="","",IFERROR(INDEX(Products!$B$2:$B$50,MATCH($E394,Products!$A$2:$A$50,0)),"Unmapped"))</f>
        <v>Electronics</v>
      </c>
      <c r="I394" s="41" t="n">
        <f aca="false">IF($A394="","",IFERROR(INDEX(Products!$C$2:$C$50,MATCH($E394,Products!$A$2:$A$50,0)),0))</f>
        <v>900</v>
      </c>
      <c r="J394" s="41" t="n">
        <f aca="false">IF($A394="","",IFERROR(INDEX(Products!$D$2:$D$50,MATCH($E394,Products!$A$2:$A$50,0)),0))</f>
        <v>620</v>
      </c>
      <c r="K394" s="41" t="n">
        <f aca="false">IF($A394="","",$F394*$I394*(1-$G394))</f>
        <v>17955</v>
      </c>
      <c r="L394" s="41" t="n">
        <f aca="false">IF($A394="","",$F394*$J394)</f>
        <v>13020</v>
      </c>
      <c r="M394" s="41" t="n">
        <f aca="false">IF($A394="","",$K394-$L394)</f>
        <v>4935</v>
      </c>
    </row>
    <row r="395" customFormat="false" ht="15" hidden="false" customHeight="false" outlineLevel="0" collapsed="false">
      <c r="A395" s="37" t="s">
        <v>494</v>
      </c>
      <c r="B395" s="38" t="n">
        <v>45972</v>
      </c>
      <c r="C395" s="37" t="s">
        <v>105</v>
      </c>
      <c r="D395" s="37" t="s">
        <v>116</v>
      </c>
      <c r="E395" s="37" t="s">
        <v>174</v>
      </c>
      <c r="F395" s="39" t="n">
        <v>11</v>
      </c>
      <c r="G395" s="40" t="n">
        <v>0.1</v>
      </c>
      <c r="H395" s="8" t="str">
        <f aca="false">IF($A395="","",IFERROR(INDEX(Products!$B$2:$B$50,MATCH($E395,Products!$A$2:$A$50,0)),"Unmapped"))</f>
        <v>Electronics</v>
      </c>
      <c r="I395" s="41" t="n">
        <f aca="false">IF($A395="","",IFERROR(INDEX(Products!$C$2:$C$50,MATCH($E395,Products!$A$2:$A$50,0)),0))</f>
        <v>9800</v>
      </c>
      <c r="J395" s="41" t="n">
        <f aca="false">IF($A395="","",IFERROR(INDEX(Products!$D$2:$D$50,MATCH($E395,Products!$A$2:$A$50,0)),0))</f>
        <v>7600</v>
      </c>
      <c r="K395" s="41" t="n">
        <f aca="false">IF($A395="","",$F395*$I395*(1-$G395))</f>
        <v>97020</v>
      </c>
      <c r="L395" s="41" t="n">
        <f aca="false">IF($A395="","",$F395*$J395)</f>
        <v>83600</v>
      </c>
      <c r="M395" s="41" t="n">
        <f aca="false">IF($A395="","",$K395-$L395)</f>
        <v>13420</v>
      </c>
    </row>
    <row r="396" customFormat="false" ht="15" hidden="false" customHeight="false" outlineLevel="0" collapsed="false">
      <c r="A396" s="37" t="s">
        <v>495</v>
      </c>
      <c r="B396" s="38" t="n">
        <v>45972</v>
      </c>
      <c r="C396" s="37" t="s">
        <v>82</v>
      </c>
      <c r="D396" s="37" t="s">
        <v>93</v>
      </c>
      <c r="E396" s="37" t="s">
        <v>103</v>
      </c>
      <c r="F396" s="39" t="n">
        <v>8</v>
      </c>
      <c r="G396" s="40" t="n">
        <v>0.05</v>
      </c>
      <c r="H396" s="8" t="str">
        <f aca="false">IF($A396="","",IFERROR(INDEX(Products!$B$2:$B$50,MATCH($E396,Products!$A$2:$A$50,0)),"Unmapped"))</f>
        <v>Electronics</v>
      </c>
      <c r="I396" s="41" t="n">
        <f aca="false">IF($A396="","",IFERROR(INDEX(Products!$C$2:$C$50,MATCH($E396,Products!$A$2:$A$50,0)),0))</f>
        <v>900</v>
      </c>
      <c r="J396" s="41" t="n">
        <f aca="false">IF($A396="","",IFERROR(INDEX(Products!$D$2:$D$50,MATCH($E396,Products!$A$2:$A$50,0)),0))</f>
        <v>620</v>
      </c>
      <c r="K396" s="41" t="n">
        <f aca="false">IF($A396="","",$F396*$I396*(1-$G396))</f>
        <v>6840</v>
      </c>
      <c r="L396" s="41" t="n">
        <f aca="false">IF($A396="","",$F396*$J396)</f>
        <v>4960</v>
      </c>
      <c r="M396" s="41" t="n">
        <f aca="false">IF($A396="","",$K396-$L396)</f>
        <v>1880</v>
      </c>
    </row>
    <row r="397" customFormat="false" ht="15" hidden="false" customHeight="false" outlineLevel="0" collapsed="false">
      <c r="A397" s="37" t="s">
        <v>496</v>
      </c>
      <c r="B397" s="38" t="n">
        <v>45972</v>
      </c>
      <c r="C397" s="37" t="s">
        <v>78</v>
      </c>
      <c r="D397" s="37" t="s">
        <v>79</v>
      </c>
      <c r="E397" s="37" t="s">
        <v>94</v>
      </c>
      <c r="F397" s="39" t="n">
        <v>166</v>
      </c>
      <c r="G397" s="40" t="n">
        <v>0.05</v>
      </c>
      <c r="H397" s="8" t="str">
        <f aca="false">IF($A397="","",IFERROR(INDEX(Products!$B$2:$B$50,MATCH($E397,Products!$A$2:$A$50,0)),"Unmapped"))</f>
        <v>Stationery</v>
      </c>
      <c r="I397" s="41" t="n">
        <f aca="false">IF($A397="","",IFERROR(INDEX(Products!$C$2:$C$50,MATCH($E397,Products!$A$2:$A$50,0)),0))</f>
        <v>280</v>
      </c>
      <c r="J397" s="41" t="n">
        <f aca="false">IF($A397="","",IFERROR(INDEX(Products!$D$2:$D$50,MATCH($E397,Products!$A$2:$A$50,0)),0))</f>
        <v>210</v>
      </c>
      <c r="K397" s="41" t="n">
        <f aca="false">IF($A397="","",$F397*$I397*(1-$G397))</f>
        <v>44156</v>
      </c>
      <c r="L397" s="41" t="n">
        <f aca="false">IF($A397="","",$F397*$J397)</f>
        <v>34860</v>
      </c>
      <c r="M397" s="41" t="n">
        <f aca="false">IF($A397="","",$K397-$L397)</f>
        <v>9296</v>
      </c>
    </row>
    <row r="398" customFormat="false" ht="15" hidden="false" customHeight="false" outlineLevel="0" collapsed="false">
      <c r="A398" s="37" t="s">
        <v>497</v>
      </c>
      <c r="B398" s="38" t="n">
        <v>45973</v>
      </c>
      <c r="C398" s="37" t="s">
        <v>88</v>
      </c>
      <c r="D398" s="37" t="s">
        <v>111</v>
      </c>
      <c r="E398" s="37" t="s">
        <v>134</v>
      </c>
      <c r="F398" s="39" t="n">
        <v>5</v>
      </c>
      <c r="G398" s="40" t="n">
        <v>0.15</v>
      </c>
      <c r="H398" s="8" t="str">
        <f aca="false">IF($A398="","",IFERROR(INDEX(Products!$B$2:$B$50,MATCH($E398,Products!$A$2:$A$50,0)),"Unmapped"))</f>
        <v>Furniture</v>
      </c>
      <c r="I398" s="41" t="n">
        <f aca="false">IF($A398="","",IFERROR(INDEX(Products!$C$2:$C$50,MATCH($E398,Products!$A$2:$A$50,0)),0))</f>
        <v>6100</v>
      </c>
      <c r="J398" s="41" t="n">
        <f aca="false">IF($A398="","",IFERROR(INDEX(Products!$D$2:$D$50,MATCH($E398,Products!$A$2:$A$50,0)),0))</f>
        <v>4500</v>
      </c>
      <c r="K398" s="41" t="n">
        <f aca="false">IF($A398="","",$F398*$I398*(1-$G398))</f>
        <v>25925</v>
      </c>
      <c r="L398" s="41" t="n">
        <f aca="false">IF($A398="","",$F398*$J398)</f>
        <v>22500</v>
      </c>
      <c r="M398" s="41" t="n">
        <f aca="false">IF($A398="","",$K398-$L398)</f>
        <v>3425</v>
      </c>
    </row>
    <row r="399" customFormat="false" ht="15" hidden="false" customHeight="false" outlineLevel="0" collapsed="false">
      <c r="A399" s="37" t="s">
        <v>498</v>
      </c>
      <c r="B399" s="38" t="n">
        <v>45974</v>
      </c>
      <c r="C399" s="37" t="s">
        <v>82</v>
      </c>
      <c r="D399" s="37" t="s">
        <v>93</v>
      </c>
      <c r="E399" s="37" t="s">
        <v>90</v>
      </c>
      <c r="F399" s="39" t="n">
        <v>170</v>
      </c>
      <c r="G399" s="40" t="n">
        <v>0.15</v>
      </c>
      <c r="H399" s="8" t="str">
        <f aca="false">IF($A399="","",IFERROR(INDEX(Products!$B$2:$B$50,MATCH($E399,Products!$A$2:$A$50,0)),"Unmapped"))</f>
        <v>Stationery</v>
      </c>
      <c r="I399" s="41" t="n">
        <f aca="false">IF($A399="","",IFERROR(INDEX(Products!$C$2:$C$50,MATCH($E399,Products!$A$2:$A$50,0)),0))</f>
        <v>120</v>
      </c>
      <c r="J399" s="41" t="n">
        <f aca="false">IF($A399="","",IFERROR(INDEX(Products!$D$2:$D$50,MATCH($E399,Products!$A$2:$A$50,0)),0))</f>
        <v>80</v>
      </c>
      <c r="K399" s="41" t="n">
        <f aca="false">IF($A399="","",$F399*$I399*(1-$G399))</f>
        <v>17340</v>
      </c>
      <c r="L399" s="41" t="n">
        <f aca="false">IF($A399="","",$F399*$J399)</f>
        <v>13600</v>
      </c>
      <c r="M399" s="41" t="n">
        <f aca="false">IF($A399="","",$K399-$L399)</f>
        <v>3740</v>
      </c>
    </row>
    <row r="400" customFormat="false" ht="15" hidden="false" customHeight="false" outlineLevel="0" collapsed="false">
      <c r="A400" s="37" t="s">
        <v>499</v>
      </c>
      <c r="B400" s="38" t="n">
        <v>45976</v>
      </c>
      <c r="C400" s="37" t="s">
        <v>105</v>
      </c>
      <c r="D400" s="37" t="s">
        <v>116</v>
      </c>
      <c r="E400" s="37" t="s">
        <v>134</v>
      </c>
      <c r="F400" s="39" t="n">
        <v>14</v>
      </c>
      <c r="G400" s="40" t="n">
        <v>0.1</v>
      </c>
      <c r="H400" s="8" t="str">
        <f aca="false">IF($A400="","",IFERROR(INDEX(Products!$B$2:$B$50,MATCH($E400,Products!$A$2:$A$50,0)),"Unmapped"))</f>
        <v>Furniture</v>
      </c>
      <c r="I400" s="41" t="n">
        <f aca="false">IF($A400="","",IFERROR(INDEX(Products!$C$2:$C$50,MATCH($E400,Products!$A$2:$A$50,0)),0))</f>
        <v>6100</v>
      </c>
      <c r="J400" s="41" t="n">
        <f aca="false">IF($A400="","",IFERROR(INDEX(Products!$D$2:$D$50,MATCH($E400,Products!$A$2:$A$50,0)),0))</f>
        <v>4500</v>
      </c>
      <c r="K400" s="41" t="n">
        <f aca="false">IF($A400="","",$F400*$I400*(1-$G400))</f>
        <v>76860</v>
      </c>
      <c r="L400" s="41" t="n">
        <f aca="false">IF($A400="","",$F400*$J400)</f>
        <v>63000</v>
      </c>
      <c r="M400" s="41" t="n">
        <f aca="false">IF($A400="","",$K400-$L400)</f>
        <v>13860</v>
      </c>
    </row>
    <row r="401" customFormat="false" ht="15" hidden="false" customHeight="false" outlineLevel="0" collapsed="false">
      <c r="A401" s="37" t="s">
        <v>500</v>
      </c>
      <c r="B401" s="38" t="n">
        <v>45977</v>
      </c>
      <c r="C401" s="37" t="s">
        <v>78</v>
      </c>
      <c r="D401" s="37" t="s">
        <v>86</v>
      </c>
      <c r="E401" s="37" t="s">
        <v>103</v>
      </c>
      <c r="F401" s="39" t="n">
        <v>9</v>
      </c>
      <c r="G401" s="40" t="n">
        <v>0</v>
      </c>
      <c r="H401" s="8" t="str">
        <f aca="false">IF($A401="","",IFERROR(INDEX(Products!$B$2:$B$50,MATCH($E401,Products!$A$2:$A$50,0)),"Unmapped"))</f>
        <v>Electronics</v>
      </c>
      <c r="I401" s="41" t="n">
        <f aca="false">IF($A401="","",IFERROR(INDEX(Products!$C$2:$C$50,MATCH($E401,Products!$A$2:$A$50,0)),0))</f>
        <v>900</v>
      </c>
      <c r="J401" s="41" t="n">
        <f aca="false">IF($A401="","",IFERROR(INDEX(Products!$D$2:$D$50,MATCH($E401,Products!$A$2:$A$50,0)),0))</f>
        <v>620</v>
      </c>
      <c r="K401" s="41" t="n">
        <f aca="false">IF($A401="","",$F401*$I401*(1-$G401))</f>
        <v>8100</v>
      </c>
      <c r="L401" s="41" t="n">
        <f aca="false">IF($A401="","",$F401*$J401)</f>
        <v>5580</v>
      </c>
      <c r="M401" s="41" t="n">
        <f aca="false">IF($A401="","",$K401-$L401)</f>
        <v>2520</v>
      </c>
    </row>
    <row r="402" customFormat="false" ht="15" hidden="false" customHeight="false" outlineLevel="0" collapsed="false">
      <c r="A402" s="37" t="s">
        <v>501</v>
      </c>
      <c r="B402" s="38" t="n">
        <v>45978</v>
      </c>
      <c r="C402" s="37" t="s">
        <v>105</v>
      </c>
      <c r="D402" s="37" t="s">
        <v>116</v>
      </c>
      <c r="E402" s="37" t="s">
        <v>107</v>
      </c>
      <c r="F402" s="39" t="n">
        <v>2</v>
      </c>
      <c r="G402" s="40" t="n">
        <v>0.15</v>
      </c>
      <c r="H402" s="8" t="str">
        <f aca="false">IF($A402="","",IFERROR(INDEX(Products!$B$2:$B$50,MATCH($E402,Products!$A$2:$A$50,0)),"Unmapped"))</f>
        <v>Furniture</v>
      </c>
      <c r="I402" s="41" t="n">
        <f aca="false">IF($A402="","",IFERROR(INDEX(Products!$C$2:$C$50,MATCH($E402,Products!$A$2:$A$50,0)),0))</f>
        <v>7200</v>
      </c>
      <c r="J402" s="41" t="n">
        <f aca="false">IF($A402="","",IFERROR(INDEX(Products!$D$2:$D$50,MATCH($E402,Products!$A$2:$A$50,0)),0))</f>
        <v>5400</v>
      </c>
      <c r="K402" s="41" t="n">
        <f aca="false">IF($A402="","",$F402*$I402*(1-$G402))</f>
        <v>12240</v>
      </c>
      <c r="L402" s="41" t="n">
        <f aca="false">IF($A402="","",$F402*$J402)</f>
        <v>10800</v>
      </c>
      <c r="M402" s="41" t="n">
        <f aca="false">IF($A402="","",$K402-$L402)</f>
        <v>1440</v>
      </c>
    </row>
    <row r="403" customFormat="false" ht="15" hidden="false" customHeight="false" outlineLevel="0" collapsed="false">
      <c r="A403" s="37" t="s">
        <v>502</v>
      </c>
      <c r="B403" s="38" t="n">
        <v>45978</v>
      </c>
      <c r="C403" s="37" t="s">
        <v>78</v>
      </c>
      <c r="D403" s="37" t="s">
        <v>86</v>
      </c>
      <c r="E403" s="37" t="s">
        <v>103</v>
      </c>
      <c r="F403" s="39" t="n">
        <v>9</v>
      </c>
      <c r="G403" s="40" t="n">
        <v>0.1</v>
      </c>
      <c r="H403" s="8" t="str">
        <f aca="false">IF($A403="","",IFERROR(INDEX(Products!$B$2:$B$50,MATCH($E403,Products!$A$2:$A$50,0)),"Unmapped"))</f>
        <v>Electronics</v>
      </c>
      <c r="I403" s="41" t="n">
        <f aca="false">IF($A403="","",IFERROR(INDEX(Products!$C$2:$C$50,MATCH($E403,Products!$A$2:$A$50,0)),0))</f>
        <v>900</v>
      </c>
      <c r="J403" s="41" t="n">
        <f aca="false">IF($A403="","",IFERROR(INDEX(Products!$D$2:$D$50,MATCH($E403,Products!$A$2:$A$50,0)),0))</f>
        <v>620</v>
      </c>
      <c r="K403" s="41" t="n">
        <f aca="false">IF($A403="","",$F403*$I403*(1-$G403))</f>
        <v>7290</v>
      </c>
      <c r="L403" s="41" t="n">
        <f aca="false">IF($A403="","",$F403*$J403)</f>
        <v>5580</v>
      </c>
      <c r="M403" s="41" t="n">
        <f aca="false">IF($A403="","",$K403-$L403)</f>
        <v>1710</v>
      </c>
    </row>
    <row r="404" customFormat="false" ht="15" hidden="false" customHeight="false" outlineLevel="0" collapsed="false">
      <c r="A404" s="37" t="s">
        <v>503</v>
      </c>
      <c r="B404" s="38" t="n">
        <v>45979</v>
      </c>
      <c r="C404" s="37" t="s">
        <v>78</v>
      </c>
      <c r="D404" s="37" t="s">
        <v>86</v>
      </c>
      <c r="E404" s="37" t="s">
        <v>114</v>
      </c>
      <c r="F404" s="39" t="n">
        <v>20</v>
      </c>
      <c r="G404" s="40" t="n">
        <v>0</v>
      </c>
      <c r="H404" s="8" t="str">
        <f aca="false">IF($A404="","",IFERROR(INDEX(Products!$B$2:$B$50,MATCH($E404,Products!$A$2:$A$50,0)),"Unmapped"))</f>
        <v>Pantry</v>
      </c>
      <c r="I404" s="41" t="n">
        <f aca="false">IF($A404="","",IFERROR(INDEX(Products!$C$2:$C$50,MATCH($E404,Products!$A$2:$A$50,0)),0))</f>
        <v>1500</v>
      </c>
      <c r="J404" s="41" t="n">
        <f aca="false">IF($A404="","",IFERROR(INDEX(Products!$D$2:$D$50,MATCH($E404,Products!$A$2:$A$50,0)),0))</f>
        <v>1100</v>
      </c>
      <c r="K404" s="41" t="n">
        <f aca="false">IF($A404="","",$F404*$I404*(1-$G404))</f>
        <v>30000</v>
      </c>
      <c r="L404" s="41" t="n">
        <f aca="false">IF($A404="","",$F404*$J404)</f>
        <v>22000</v>
      </c>
      <c r="M404" s="41" t="n">
        <f aca="false">IF($A404="","",$K404-$L404)</f>
        <v>8000</v>
      </c>
    </row>
    <row r="405" customFormat="false" ht="15" hidden="false" customHeight="false" outlineLevel="0" collapsed="false">
      <c r="A405" s="37" t="s">
        <v>504</v>
      </c>
      <c r="B405" s="38" t="n">
        <v>45979</v>
      </c>
      <c r="C405" s="37" t="s">
        <v>105</v>
      </c>
      <c r="D405" s="37" t="s">
        <v>106</v>
      </c>
      <c r="E405" s="37" t="s">
        <v>90</v>
      </c>
      <c r="F405" s="39" t="n">
        <v>61</v>
      </c>
      <c r="G405" s="40" t="n">
        <v>0</v>
      </c>
      <c r="H405" s="8" t="str">
        <f aca="false">IF($A405="","",IFERROR(INDEX(Products!$B$2:$B$50,MATCH($E405,Products!$A$2:$A$50,0)),"Unmapped"))</f>
        <v>Stationery</v>
      </c>
      <c r="I405" s="41" t="n">
        <f aca="false">IF($A405="","",IFERROR(INDEX(Products!$C$2:$C$50,MATCH($E405,Products!$A$2:$A$50,0)),0))</f>
        <v>120</v>
      </c>
      <c r="J405" s="41" t="n">
        <f aca="false">IF($A405="","",IFERROR(INDEX(Products!$D$2:$D$50,MATCH($E405,Products!$A$2:$A$50,0)),0))</f>
        <v>80</v>
      </c>
      <c r="K405" s="41" t="n">
        <f aca="false">IF($A405="","",$F405*$I405*(1-$G405))</f>
        <v>7320</v>
      </c>
      <c r="L405" s="41" t="n">
        <f aca="false">IF($A405="","",$F405*$J405)</f>
        <v>4880</v>
      </c>
      <c r="M405" s="41" t="n">
        <f aca="false">IF($A405="","",$K405-$L405)</f>
        <v>2440</v>
      </c>
    </row>
    <row r="406" customFormat="false" ht="15" hidden="false" customHeight="false" outlineLevel="0" collapsed="false">
      <c r="A406" s="37" t="s">
        <v>505</v>
      </c>
      <c r="B406" s="38" t="n">
        <v>45979</v>
      </c>
      <c r="C406" s="37" t="s">
        <v>82</v>
      </c>
      <c r="D406" s="37" t="s">
        <v>93</v>
      </c>
      <c r="E406" s="37" t="s">
        <v>84</v>
      </c>
      <c r="F406" s="39" t="n">
        <v>145</v>
      </c>
      <c r="G406" s="40" t="n">
        <v>0.05</v>
      </c>
      <c r="H406" s="8" t="str">
        <f aca="false">IF($A406="","",IFERROR(INDEX(Products!$B$2:$B$50,MATCH($E406,Products!$A$2:$A$50,0)),"Unmapped"))</f>
        <v>Stationery</v>
      </c>
      <c r="I406" s="41" t="n">
        <f aca="false">IF($A406="","",IFERROR(INDEX(Products!$C$2:$C$50,MATCH($E406,Products!$A$2:$A$50,0)),0))</f>
        <v>350</v>
      </c>
      <c r="J406" s="41" t="n">
        <f aca="false">IF($A406="","",IFERROR(INDEX(Products!$D$2:$D$50,MATCH($E406,Products!$A$2:$A$50,0)),0))</f>
        <v>240</v>
      </c>
      <c r="K406" s="41" t="n">
        <f aca="false">IF($A406="","",$F406*$I406*(1-$G406))</f>
        <v>48212.5</v>
      </c>
      <c r="L406" s="41" t="n">
        <f aca="false">IF($A406="","",$F406*$J406)</f>
        <v>34800</v>
      </c>
      <c r="M406" s="41" t="n">
        <f aca="false">IF($A406="","",$K406-$L406)</f>
        <v>13412.5</v>
      </c>
    </row>
    <row r="407" customFormat="false" ht="15" hidden="false" customHeight="false" outlineLevel="0" collapsed="false">
      <c r="A407" s="37" t="s">
        <v>506</v>
      </c>
      <c r="B407" s="38" t="n">
        <v>45980</v>
      </c>
      <c r="C407" s="37" t="s">
        <v>88</v>
      </c>
      <c r="D407" s="37" t="s">
        <v>89</v>
      </c>
      <c r="E407" s="37" t="s">
        <v>107</v>
      </c>
      <c r="F407" s="39" t="n">
        <v>11</v>
      </c>
      <c r="G407" s="40" t="n">
        <v>0</v>
      </c>
      <c r="H407" s="8" t="str">
        <f aca="false">IF($A407="","",IFERROR(INDEX(Products!$B$2:$B$50,MATCH($E407,Products!$A$2:$A$50,0)),"Unmapped"))</f>
        <v>Furniture</v>
      </c>
      <c r="I407" s="41" t="n">
        <f aca="false">IF($A407="","",IFERROR(INDEX(Products!$C$2:$C$50,MATCH($E407,Products!$A$2:$A$50,0)),0))</f>
        <v>7200</v>
      </c>
      <c r="J407" s="41" t="n">
        <f aca="false">IF($A407="","",IFERROR(INDEX(Products!$D$2:$D$50,MATCH($E407,Products!$A$2:$A$50,0)),0))</f>
        <v>5400</v>
      </c>
      <c r="K407" s="41" t="n">
        <f aca="false">IF($A407="","",$F407*$I407*(1-$G407))</f>
        <v>79200</v>
      </c>
      <c r="L407" s="41" t="n">
        <f aca="false">IF($A407="","",$F407*$J407)</f>
        <v>59400</v>
      </c>
      <c r="M407" s="41" t="n">
        <f aca="false">IF($A407="","",$K407-$L407)</f>
        <v>19800</v>
      </c>
    </row>
    <row r="408" customFormat="false" ht="15" hidden="false" customHeight="false" outlineLevel="0" collapsed="false">
      <c r="A408" s="37" t="s">
        <v>507</v>
      </c>
      <c r="B408" s="38" t="n">
        <v>45980</v>
      </c>
      <c r="C408" s="37" t="s">
        <v>105</v>
      </c>
      <c r="D408" s="37" t="s">
        <v>116</v>
      </c>
      <c r="E408" s="37" t="s">
        <v>157</v>
      </c>
      <c r="F408" s="39" t="n">
        <v>16</v>
      </c>
      <c r="G408" s="40" t="n">
        <v>0.05</v>
      </c>
      <c r="H408" s="8" t="str">
        <f aca="false">IF($A408="","",IFERROR(INDEX(Products!$B$2:$B$50,MATCH($E408,Products!$A$2:$A$50,0)),"Unmapped"))</f>
        <v>Electronics</v>
      </c>
      <c r="I408" s="41" t="n">
        <f aca="false">IF($A408="","",IFERROR(INDEX(Products!$C$2:$C$50,MATCH($E408,Products!$A$2:$A$50,0)),0))</f>
        <v>8900</v>
      </c>
      <c r="J408" s="41" t="n">
        <f aca="false">IF($A408="","",IFERROR(INDEX(Products!$D$2:$D$50,MATCH($E408,Products!$A$2:$A$50,0)),0))</f>
        <v>7000</v>
      </c>
      <c r="K408" s="41" t="n">
        <f aca="false">IF($A408="","",$F408*$I408*(1-$G408))</f>
        <v>135280</v>
      </c>
      <c r="L408" s="41" t="n">
        <f aca="false">IF($A408="","",$F408*$J408)</f>
        <v>112000</v>
      </c>
      <c r="M408" s="41" t="n">
        <f aca="false">IF($A408="","",$K408-$L408)</f>
        <v>23280</v>
      </c>
    </row>
    <row r="409" customFormat="false" ht="15" hidden="false" customHeight="false" outlineLevel="0" collapsed="false">
      <c r="A409" s="37" t="s">
        <v>508</v>
      </c>
      <c r="B409" s="38" t="n">
        <v>45980</v>
      </c>
      <c r="C409" s="37" t="s">
        <v>82</v>
      </c>
      <c r="D409" s="37" t="s">
        <v>83</v>
      </c>
      <c r="E409" s="37" t="s">
        <v>103</v>
      </c>
      <c r="F409" s="39" t="n">
        <v>26</v>
      </c>
      <c r="G409" s="40" t="n">
        <v>0</v>
      </c>
      <c r="H409" s="8" t="str">
        <f aca="false">IF($A409="","",IFERROR(INDEX(Products!$B$2:$B$50,MATCH($E409,Products!$A$2:$A$50,0)),"Unmapped"))</f>
        <v>Electronics</v>
      </c>
      <c r="I409" s="41" t="n">
        <f aca="false">IF($A409="","",IFERROR(INDEX(Products!$C$2:$C$50,MATCH($E409,Products!$A$2:$A$50,0)),0))</f>
        <v>900</v>
      </c>
      <c r="J409" s="41" t="n">
        <f aca="false">IF($A409="","",IFERROR(INDEX(Products!$D$2:$D$50,MATCH($E409,Products!$A$2:$A$50,0)),0))</f>
        <v>620</v>
      </c>
      <c r="K409" s="41" t="n">
        <f aca="false">IF($A409="","",$F409*$I409*(1-$G409))</f>
        <v>23400</v>
      </c>
      <c r="L409" s="41" t="n">
        <f aca="false">IF($A409="","",$F409*$J409)</f>
        <v>16120</v>
      </c>
      <c r="M409" s="41" t="n">
        <f aca="false">IF($A409="","",$K409-$L409)</f>
        <v>7280</v>
      </c>
    </row>
    <row r="410" customFormat="false" ht="15" hidden="false" customHeight="false" outlineLevel="0" collapsed="false">
      <c r="A410" s="37" t="s">
        <v>509</v>
      </c>
      <c r="B410" s="38" t="n">
        <v>45981</v>
      </c>
      <c r="C410" s="37" t="s">
        <v>88</v>
      </c>
      <c r="D410" s="37" t="s">
        <v>111</v>
      </c>
      <c r="E410" s="37" t="s">
        <v>94</v>
      </c>
      <c r="F410" s="39" t="n">
        <v>44</v>
      </c>
      <c r="G410" s="40" t="n">
        <v>0</v>
      </c>
      <c r="H410" s="8" t="str">
        <f aca="false">IF($A410="","",IFERROR(INDEX(Products!$B$2:$B$50,MATCH($E410,Products!$A$2:$A$50,0)),"Unmapped"))</f>
        <v>Stationery</v>
      </c>
      <c r="I410" s="41" t="n">
        <f aca="false">IF($A410="","",IFERROR(INDEX(Products!$C$2:$C$50,MATCH($E410,Products!$A$2:$A$50,0)),0))</f>
        <v>280</v>
      </c>
      <c r="J410" s="41" t="n">
        <f aca="false">IF($A410="","",IFERROR(INDEX(Products!$D$2:$D$50,MATCH($E410,Products!$A$2:$A$50,0)),0))</f>
        <v>210</v>
      </c>
      <c r="K410" s="41" t="n">
        <f aca="false">IF($A410="","",$F410*$I410*(1-$G410))</f>
        <v>12320</v>
      </c>
      <c r="L410" s="41" t="n">
        <f aca="false">IF($A410="","",$F410*$J410)</f>
        <v>9240</v>
      </c>
      <c r="M410" s="41" t="n">
        <f aca="false">IF($A410="","",$K410-$L410)</f>
        <v>3080</v>
      </c>
    </row>
    <row r="411" customFormat="false" ht="15" hidden="false" customHeight="false" outlineLevel="0" collapsed="false">
      <c r="A411" s="37" t="s">
        <v>510</v>
      </c>
      <c r="B411" s="38" t="n">
        <v>45981</v>
      </c>
      <c r="C411" s="37" t="s">
        <v>78</v>
      </c>
      <c r="D411" s="37" t="s">
        <v>79</v>
      </c>
      <c r="E411" s="37" t="s">
        <v>134</v>
      </c>
      <c r="F411" s="39" t="n">
        <v>12</v>
      </c>
      <c r="G411" s="40" t="n">
        <v>0</v>
      </c>
      <c r="H411" s="8" t="str">
        <f aca="false">IF($A411="","",IFERROR(INDEX(Products!$B$2:$B$50,MATCH($E411,Products!$A$2:$A$50,0)),"Unmapped"))</f>
        <v>Furniture</v>
      </c>
      <c r="I411" s="41" t="n">
        <f aca="false">IF($A411="","",IFERROR(INDEX(Products!$C$2:$C$50,MATCH($E411,Products!$A$2:$A$50,0)),0))</f>
        <v>6100</v>
      </c>
      <c r="J411" s="41" t="n">
        <f aca="false">IF($A411="","",IFERROR(INDEX(Products!$D$2:$D$50,MATCH($E411,Products!$A$2:$A$50,0)),0))</f>
        <v>4500</v>
      </c>
      <c r="K411" s="41" t="n">
        <f aca="false">IF($A411="","",$F411*$I411*(1-$G411))</f>
        <v>73200</v>
      </c>
      <c r="L411" s="41" t="n">
        <f aca="false">IF($A411="","",$F411*$J411)</f>
        <v>54000</v>
      </c>
      <c r="M411" s="41" t="n">
        <f aca="false">IF($A411="","",$K411-$L411)</f>
        <v>19200</v>
      </c>
    </row>
    <row r="412" customFormat="false" ht="15" hidden="false" customHeight="false" outlineLevel="0" collapsed="false">
      <c r="A412" s="37" t="s">
        <v>511</v>
      </c>
      <c r="B412" s="38" t="n">
        <v>45981</v>
      </c>
      <c r="C412" s="37" t="s">
        <v>78</v>
      </c>
      <c r="D412" s="37" t="s">
        <v>79</v>
      </c>
      <c r="E412" s="37" t="s">
        <v>114</v>
      </c>
      <c r="F412" s="39" t="n">
        <v>36</v>
      </c>
      <c r="G412" s="40" t="n">
        <v>0</v>
      </c>
      <c r="H412" s="8" t="str">
        <f aca="false">IF($A412="","",IFERROR(INDEX(Products!$B$2:$B$50,MATCH($E412,Products!$A$2:$A$50,0)),"Unmapped"))</f>
        <v>Pantry</v>
      </c>
      <c r="I412" s="41" t="n">
        <f aca="false">IF($A412="","",IFERROR(INDEX(Products!$C$2:$C$50,MATCH($E412,Products!$A$2:$A$50,0)),0))</f>
        <v>1500</v>
      </c>
      <c r="J412" s="41" t="n">
        <f aca="false">IF($A412="","",IFERROR(INDEX(Products!$D$2:$D$50,MATCH($E412,Products!$A$2:$A$50,0)),0))</f>
        <v>1100</v>
      </c>
      <c r="K412" s="41" t="n">
        <f aca="false">IF($A412="","",$F412*$I412*(1-$G412))</f>
        <v>54000</v>
      </c>
      <c r="L412" s="41" t="n">
        <f aca="false">IF($A412="","",$F412*$J412)</f>
        <v>39600</v>
      </c>
      <c r="M412" s="41" t="n">
        <f aca="false">IF($A412="","",$K412-$L412)</f>
        <v>14400</v>
      </c>
    </row>
    <row r="413" customFormat="false" ht="15" hidden="false" customHeight="false" outlineLevel="0" collapsed="false">
      <c r="A413" s="37" t="s">
        <v>512</v>
      </c>
      <c r="B413" s="38" t="n">
        <v>45981</v>
      </c>
      <c r="C413" s="37" t="s">
        <v>88</v>
      </c>
      <c r="D413" s="37" t="s">
        <v>111</v>
      </c>
      <c r="E413" s="37" t="s">
        <v>121</v>
      </c>
      <c r="F413" s="39" t="n">
        <v>27</v>
      </c>
      <c r="G413" s="40" t="n">
        <v>0</v>
      </c>
      <c r="H413" s="8" t="str">
        <f aca="false">IF($A413="","",IFERROR(INDEX(Products!$B$2:$B$50,MATCH($E413,Products!$A$2:$A$50,0)),"Unmapped"))</f>
        <v>Electronics</v>
      </c>
      <c r="I413" s="41" t="n">
        <f aca="false">IF($A413="","",IFERROR(INDEX(Products!$C$2:$C$50,MATCH($E413,Products!$A$2:$A$50,0)),0))</f>
        <v>650</v>
      </c>
      <c r="J413" s="41" t="n">
        <f aca="false">IF($A413="","",IFERROR(INDEX(Products!$D$2:$D$50,MATCH($E413,Products!$A$2:$A$50,0)),0))</f>
        <v>430</v>
      </c>
      <c r="K413" s="41" t="n">
        <f aca="false">IF($A413="","",$F413*$I413*(1-$G413))</f>
        <v>17550</v>
      </c>
      <c r="L413" s="41" t="n">
        <f aca="false">IF($A413="","",$F413*$J413)</f>
        <v>11610</v>
      </c>
      <c r="M413" s="41" t="n">
        <f aca="false">IF($A413="","",$K413-$L413)</f>
        <v>5940</v>
      </c>
    </row>
    <row r="414" customFormat="false" ht="15" hidden="false" customHeight="false" outlineLevel="0" collapsed="false">
      <c r="A414" s="37" t="s">
        <v>513</v>
      </c>
      <c r="B414" s="38" t="n">
        <v>45983</v>
      </c>
      <c r="C414" s="37" t="s">
        <v>82</v>
      </c>
      <c r="D414" s="37" t="s">
        <v>93</v>
      </c>
      <c r="E414" s="37" t="s">
        <v>114</v>
      </c>
      <c r="F414" s="39" t="n">
        <v>33</v>
      </c>
      <c r="G414" s="40" t="n">
        <v>0.05</v>
      </c>
      <c r="H414" s="8" t="str">
        <f aca="false">IF($A414="","",IFERROR(INDEX(Products!$B$2:$B$50,MATCH($E414,Products!$A$2:$A$50,0)),"Unmapped"))</f>
        <v>Pantry</v>
      </c>
      <c r="I414" s="41" t="n">
        <f aca="false">IF($A414="","",IFERROR(INDEX(Products!$C$2:$C$50,MATCH($E414,Products!$A$2:$A$50,0)),0))</f>
        <v>1500</v>
      </c>
      <c r="J414" s="41" t="n">
        <f aca="false">IF($A414="","",IFERROR(INDEX(Products!$D$2:$D$50,MATCH($E414,Products!$A$2:$A$50,0)),0))</f>
        <v>1100</v>
      </c>
      <c r="K414" s="41" t="n">
        <f aca="false">IF($A414="","",$F414*$I414*(1-$G414))</f>
        <v>47025</v>
      </c>
      <c r="L414" s="41" t="n">
        <f aca="false">IF($A414="","",$F414*$J414)</f>
        <v>36300</v>
      </c>
      <c r="M414" s="41" t="n">
        <f aca="false">IF($A414="","",$K414-$L414)</f>
        <v>10725</v>
      </c>
    </row>
    <row r="415" customFormat="false" ht="15" hidden="false" customHeight="false" outlineLevel="0" collapsed="false">
      <c r="A415" s="37" t="s">
        <v>514</v>
      </c>
      <c r="B415" s="38" t="n">
        <v>45983</v>
      </c>
      <c r="C415" s="37" t="s">
        <v>82</v>
      </c>
      <c r="D415" s="37" t="s">
        <v>83</v>
      </c>
      <c r="E415" s="37" t="s">
        <v>174</v>
      </c>
      <c r="F415" s="39" t="n">
        <v>15</v>
      </c>
      <c r="G415" s="40" t="n">
        <v>0</v>
      </c>
      <c r="H415" s="8" t="str">
        <f aca="false">IF($A415="","",IFERROR(INDEX(Products!$B$2:$B$50,MATCH($E415,Products!$A$2:$A$50,0)),"Unmapped"))</f>
        <v>Electronics</v>
      </c>
      <c r="I415" s="41" t="n">
        <f aca="false">IF($A415="","",IFERROR(INDEX(Products!$C$2:$C$50,MATCH($E415,Products!$A$2:$A$50,0)),0))</f>
        <v>9800</v>
      </c>
      <c r="J415" s="41" t="n">
        <f aca="false">IF($A415="","",IFERROR(INDEX(Products!$D$2:$D$50,MATCH($E415,Products!$A$2:$A$50,0)),0))</f>
        <v>7600</v>
      </c>
      <c r="K415" s="41" t="n">
        <f aca="false">IF($A415="","",$F415*$I415*(1-$G415))</f>
        <v>147000</v>
      </c>
      <c r="L415" s="41" t="n">
        <f aca="false">IF($A415="","",$F415*$J415)</f>
        <v>114000</v>
      </c>
      <c r="M415" s="41" t="n">
        <f aca="false">IF($A415="","",$K415-$L415)</f>
        <v>33000</v>
      </c>
    </row>
    <row r="416" customFormat="false" ht="15" hidden="false" customHeight="false" outlineLevel="0" collapsed="false">
      <c r="A416" s="37" t="s">
        <v>515</v>
      </c>
      <c r="B416" s="38" t="n">
        <v>45985</v>
      </c>
      <c r="C416" s="37" t="s">
        <v>82</v>
      </c>
      <c r="D416" s="37" t="s">
        <v>83</v>
      </c>
      <c r="E416" s="37" t="s">
        <v>80</v>
      </c>
      <c r="F416" s="39" t="n">
        <v>29</v>
      </c>
      <c r="G416" s="40" t="n">
        <v>0</v>
      </c>
      <c r="H416" s="8" t="str">
        <f aca="false">IF($A416="","",IFERROR(INDEX(Products!$B$2:$B$50,MATCH($E416,Products!$A$2:$A$50,0)),"Unmapped"))</f>
        <v>Pantry</v>
      </c>
      <c r="I416" s="41" t="n">
        <f aca="false">IF($A416="","",IFERROR(INDEX(Products!$C$2:$C$50,MATCH($E416,Products!$A$2:$A$50,0)),0))</f>
        <v>5600</v>
      </c>
      <c r="J416" s="41" t="n">
        <f aca="false">IF($A416="","",IFERROR(INDEX(Products!$D$2:$D$50,MATCH($E416,Products!$A$2:$A$50,0)),0))</f>
        <v>4200</v>
      </c>
      <c r="K416" s="41" t="n">
        <f aca="false">IF($A416="","",$F416*$I416*(1-$G416))</f>
        <v>162400</v>
      </c>
      <c r="L416" s="41" t="n">
        <f aca="false">IF($A416="","",$F416*$J416)</f>
        <v>121800</v>
      </c>
      <c r="M416" s="41" t="n">
        <f aca="false">IF($A416="","",$K416-$L416)</f>
        <v>40600</v>
      </c>
    </row>
    <row r="417" customFormat="false" ht="15" hidden="false" customHeight="false" outlineLevel="0" collapsed="false">
      <c r="A417" s="37" t="s">
        <v>516</v>
      </c>
      <c r="B417" s="38" t="n">
        <v>45985</v>
      </c>
      <c r="C417" s="37" t="s">
        <v>105</v>
      </c>
      <c r="D417" s="37" t="s">
        <v>106</v>
      </c>
      <c r="E417" s="37" t="s">
        <v>84</v>
      </c>
      <c r="F417" s="39" t="n">
        <v>129</v>
      </c>
      <c r="G417" s="40" t="n">
        <v>0</v>
      </c>
      <c r="H417" s="8" t="str">
        <f aca="false">IF($A417="","",IFERROR(INDEX(Products!$B$2:$B$50,MATCH($E417,Products!$A$2:$A$50,0)),"Unmapped"))</f>
        <v>Stationery</v>
      </c>
      <c r="I417" s="41" t="n">
        <f aca="false">IF($A417="","",IFERROR(INDEX(Products!$C$2:$C$50,MATCH($E417,Products!$A$2:$A$50,0)),0))</f>
        <v>350</v>
      </c>
      <c r="J417" s="41" t="n">
        <f aca="false">IF($A417="","",IFERROR(INDEX(Products!$D$2:$D$50,MATCH($E417,Products!$A$2:$A$50,0)),0))</f>
        <v>240</v>
      </c>
      <c r="K417" s="41" t="n">
        <f aca="false">IF($A417="","",$F417*$I417*(1-$G417))</f>
        <v>45150</v>
      </c>
      <c r="L417" s="41" t="n">
        <f aca="false">IF($A417="","",$F417*$J417)</f>
        <v>30960</v>
      </c>
      <c r="M417" s="41" t="n">
        <f aca="false">IF($A417="","",$K417-$L417)</f>
        <v>14190</v>
      </c>
    </row>
    <row r="418" customFormat="false" ht="15" hidden="false" customHeight="false" outlineLevel="0" collapsed="false">
      <c r="A418" s="37" t="s">
        <v>517</v>
      </c>
      <c r="B418" s="38" t="n">
        <v>45986</v>
      </c>
      <c r="C418" s="37" t="s">
        <v>105</v>
      </c>
      <c r="D418" s="37" t="s">
        <v>116</v>
      </c>
      <c r="E418" s="37" t="s">
        <v>84</v>
      </c>
      <c r="F418" s="39" t="n">
        <v>59</v>
      </c>
      <c r="G418" s="40" t="n">
        <v>0</v>
      </c>
      <c r="H418" s="8" t="str">
        <f aca="false">IF($A418="","",IFERROR(INDEX(Products!$B$2:$B$50,MATCH($E418,Products!$A$2:$A$50,0)),"Unmapped"))</f>
        <v>Stationery</v>
      </c>
      <c r="I418" s="41" t="n">
        <f aca="false">IF($A418="","",IFERROR(INDEX(Products!$C$2:$C$50,MATCH($E418,Products!$A$2:$A$50,0)),0))</f>
        <v>350</v>
      </c>
      <c r="J418" s="41" t="n">
        <f aca="false">IF($A418="","",IFERROR(INDEX(Products!$D$2:$D$50,MATCH($E418,Products!$A$2:$A$50,0)),0))</f>
        <v>240</v>
      </c>
      <c r="K418" s="41" t="n">
        <f aca="false">IF($A418="","",$F418*$I418*(1-$G418))</f>
        <v>20650</v>
      </c>
      <c r="L418" s="41" t="n">
        <f aca="false">IF($A418="","",$F418*$J418)</f>
        <v>14160</v>
      </c>
      <c r="M418" s="41" t="n">
        <f aca="false">IF($A418="","",$K418-$L418)</f>
        <v>6490</v>
      </c>
    </row>
    <row r="419" customFormat="false" ht="15" hidden="false" customHeight="false" outlineLevel="0" collapsed="false">
      <c r="A419" s="37" t="s">
        <v>518</v>
      </c>
      <c r="B419" s="38" t="n">
        <v>45986</v>
      </c>
      <c r="C419" s="37" t="s">
        <v>88</v>
      </c>
      <c r="D419" s="37" t="s">
        <v>111</v>
      </c>
      <c r="E419" s="37" t="s">
        <v>121</v>
      </c>
      <c r="F419" s="39" t="n">
        <v>3</v>
      </c>
      <c r="G419" s="40" t="n">
        <v>0.05</v>
      </c>
      <c r="H419" s="8" t="str">
        <f aca="false">IF($A419="","",IFERROR(INDEX(Products!$B$2:$B$50,MATCH($E419,Products!$A$2:$A$50,0)),"Unmapped"))</f>
        <v>Electronics</v>
      </c>
      <c r="I419" s="41" t="n">
        <f aca="false">IF($A419="","",IFERROR(INDEX(Products!$C$2:$C$50,MATCH($E419,Products!$A$2:$A$50,0)),0))</f>
        <v>650</v>
      </c>
      <c r="J419" s="41" t="n">
        <f aca="false">IF($A419="","",IFERROR(INDEX(Products!$D$2:$D$50,MATCH($E419,Products!$A$2:$A$50,0)),0))</f>
        <v>430</v>
      </c>
      <c r="K419" s="41" t="n">
        <f aca="false">IF($A419="","",$F419*$I419*(1-$G419))</f>
        <v>1852.5</v>
      </c>
      <c r="L419" s="41" t="n">
        <f aca="false">IF($A419="","",$F419*$J419)</f>
        <v>1290</v>
      </c>
      <c r="M419" s="41" t="n">
        <f aca="false">IF($A419="","",$K419-$L419)</f>
        <v>562.5</v>
      </c>
    </row>
    <row r="420" customFormat="false" ht="15" hidden="false" customHeight="false" outlineLevel="0" collapsed="false">
      <c r="A420" s="37" t="s">
        <v>519</v>
      </c>
      <c r="B420" s="38" t="n">
        <v>45986</v>
      </c>
      <c r="C420" s="37" t="s">
        <v>82</v>
      </c>
      <c r="D420" s="37" t="s">
        <v>83</v>
      </c>
      <c r="E420" s="37" t="s">
        <v>121</v>
      </c>
      <c r="F420" s="39" t="n">
        <v>20</v>
      </c>
      <c r="G420" s="40" t="n">
        <v>0.05</v>
      </c>
      <c r="H420" s="8" t="str">
        <f aca="false">IF($A420="","",IFERROR(INDEX(Products!$B$2:$B$50,MATCH($E420,Products!$A$2:$A$50,0)),"Unmapped"))</f>
        <v>Electronics</v>
      </c>
      <c r="I420" s="41" t="n">
        <f aca="false">IF($A420="","",IFERROR(INDEX(Products!$C$2:$C$50,MATCH($E420,Products!$A$2:$A$50,0)),0))</f>
        <v>650</v>
      </c>
      <c r="J420" s="41" t="n">
        <f aca="false">IF($A420="","",IFERROR(INDEX(Products!$D$2:$D$50,MATCH($E420,Products!$A$2:$A$50,0)),0))</f>
        <v>430</v>
      </c>
      <c r="K420" s="41" t="n">
        <f aca="false">IF($A420="","",$F420*$I420*(1-$G420))</f>
        <v>12350</v>
      </c>
      <c r="L420" s="41" t="n">
        <f aca="false">IF($A420="","",$F420*$J420)</f>
        <v>8600</v>
      </c>
      <c r="M420" s="41" t="n">
        <f aca="false">IF($A420="","",$K420-$L420)</f>
        <v>3750</v>
      </c>
    </row>
    <row r="421" customFormat="false" ht="15" hidden="false" customHeight="false" outlineLevel="0" collapsed="false">
      <c r="A421" s="37" t="s">
        <v>520</v>
      </c>
      <c r="B421" s="38" t="n">
        <v>45986</v>
      </c>
      <c r="C421" s="37" t="s">
        <v>78</v>
      </c>
      <c r="D421" s="37" t="s">
        <v>86</v>
      </c>
      <c r="E421" s="37" t="s">
        <v>121</v>
      </c>
      <c r="F421" s="39" t="n">
        <v>11</v>
      </c>
      <c r="G421" s="40" t="n">
        <v>0</v>
      </c>
      <c r="H421" s="8" t="str">
        <f aca="false">IF($A421="","",IFERROR(INDEX(Products!$B$2:$B$50,MATCH($E421,Products!$A$2:$A$50,0)),"Unmapped"))</f>
        <v>Electronics</v>
      </c>
      <c r="I421" s="41" t="n">
        <f aca="false">IF($A421="","",IFERROR(INDEX(Products!$C$2:$C$50,MATCH($E421,Products!$A$2:$A$50,0)),0))</f>
        <v>650</v>
      </c>
      <c r="J421" s="41" t="n">
        <f aca="false">IF($A421="","",IFERROR(INDEX(Products!$D$2:$D$50,MATCH($E421,Products!$A$2:$A$50,0)),0))</f>
        <v>430</v>
      </c>
      <c r="K421" s="41" t="n">
        <f aca="false">IF($A421="","",$F421*$I421*(1-$G421))</f>
        <v>7150</v>
      </c>
      <c r="L421" s="41" t="n">
        <f aca="false">IF($A421="","",$F421*$J421)</f>
        <v>4730</v>
      </c>
      <c r="M421" s="41" t="n">
        <f aca="false">IF($A421="","",$K421-$L421)</f>
        <v>2420</v>
      </c>
    </row>
    <row r="422" customFormat="false" ht="15" hidden="false" customHeight="false" outlineLevel="0" collapsed="false">
      <c r="A422" s="37" t="s">
        <v>521</v>
      </c>
      <c r="B422" s="38" t="n">
        <v>45986</v>
      </c>
      <c r="C422" s="37" t="s">
        <v>78</v>
      </c>
      <c r="D422" s="37" t="s">
        <v>86</v>
      </c>
      <c r="E422" s="37" t="s">
        <v>96</v>
      </c>
      <c r="F422" s="39" t="n">
        <v>6</v>
      </c>
      <c r="G422" s="40" t="n">
        <v>0.1</v>
      </c>
      <c r="H422" s="8" t="str">
        <f aca="false">IF($A422="","",IFERROR(INDEX(Products!$B$2:$B$50,MATCH($E422,Products!$A$2:$A$50,0)),"Unmapped"))</f>
        <v>Furniture</v>
      </c>
      <c r="I422" s="41" t="n">
        <f aca="false">IF($A422="","",IFERROR(INDEX(Products!$C$2:$C$50,MATCH($E422,Products!$A$2:$A$50,0)),0))</f>
        <v>4800</v>
      </c>
      <c r="J422" s="41" t="n">
        <f aca="false">IF($A422="","",IFERROR(INDEX(Products!$D$2:$D$50,MATCH($E422,Products!$A$2:$A$50,0)),0))</f>
        <v>3500</v>
      </c>
      <c r="K422" s="41" t="n">
        <f aca="false">IF($A422="","",$F422*$I422*(1-$G422))</f>
        <v>25920</v>
      </c>
      <c r="L422" s="41" t="n">
        <f aca="false">IF($A422="","",$F422*$J422)</f>
        <v>21000</v>
      </c>
      <c r="M422" s="41" t="n">
        <f aca="false">IF($A422="","",$K422-$L422)</f>
        <v>4920</v>
      </c>
    </row>
    <row r="423" customFormat="false" ht="15" hidden="false" customHeight="false" outlineLevel="0" collapsed="false">
      <c r="A423" s="37" t="s">
        <v>522</v>
      </c>
      <c r="B423" s="38" t="n">
        <v>45986</v>
      </c>
      <c r="C423" s="37" t="s">
        <v>105</v>
      </c>
      <c r="D423" s="37" t="s">
        <v>116</v>
      </c>
      <c r="E423" s="37" t="s">
        <v>94</v>
      </c>
      <c r="F423" s="39" t="n">
        <v>136</v>
      </c>
      <c r="G423" s="40" t="n">
        <v>0</v>
      </c>
      <c r="H423" s="8" t="str">
        <f aca="false">IF($A423="","",IFERROR(INDEX(Products!$B$2:$B$50,MATCH($E423,Products!$A$2:$A$50,0)),"Unmapped"))</f>
        <v>Stationery</v>
      </c>
      <c r="I423" s="41" t="n">
        <f aca="false">IF($A423="","",IFERROR(INDEX(Products!$C$2:$C$50,MATCH($E423,Products!$A$2:$A$50,0)),0))</f>
        <v>280</v>
      </c>
      <c r="J423" s="41" t="n">
        <f aca="false">IF($A423="","",IFERROR(INDEX(Products!$D$2:$D$50,MATCH($E423,Products!$A$2:$A$50,0)),0))</f>
        <v>210</v>
      </c>
      <c r="K423" s="41" t="n">
        <f aca="false">IF($A423="","",$F423*$I423*(1-$G423))</f>
        <v>38080</v>
      </c>
      <c r="L423" s="41" t="n">
        <f aca="false">IF($A423="","",$F423*$J423)</f>
        <v>28560</v>
      </c>
      <c r="M423" s="41" t="n">
        <f aca="false">IF($A423="","",$K423-$L423)</f>
        <v>9520</v>
      </c>
    </row>
    <row r="424" customFormat="false" ht="15" hidden="false" customHeight="false" outlineLevel="0" collapsed="false">
      <c r="A424" s="37" t="s">
        <v>523</v>
      </c>
      <c r="B424" s="38" t="n">
        <v>45987</v>
      </c>
      <c r="C424" s="37" t="s">
        <v>78</v>
      </c>
      <c r="D424" s="37" t="s">
        <v>86</v>
      </c>
      <c r="E424" s="37" t="s">
        <v>103</v>
      </c>
      <c r="F424" s="39" t="n">
        <v>5</v>
      </c>
      <c r="G424" s="40" t="n">
        <v>0</v>
      </c>
      <c r="H424" s="8" t="str">
        <f aca="false">IF($A424="","",IFERROR(INDEX(Products!$B$2:$B$50,MATCH($E424,Products!$A$2:$A$50,0)),"Unmapped"))</f>
        <v>Electronics</v>
      </c>
      <c r="I424" s="41" t="n">
        <f aca="false">IF($A424="","",IFERROR(INDEX(Products!$C$2:$C$50,MATCH($E424,Products!$A$2:$A$50,0)),0))</f>
        <v>900</v>
      </c>
      <c r="J424" s="41" t="n">
        <f aca="false">IF($A424="","",IFERROR(INDEX(Products!$D$2:$D$50,MATCH($E424,Products!$A$2:$A$50,0)),0))</f>
        <v>620</v>
      </c>
      <c r="K424" s="41" t="n">
        <f aca="false">IF($A424="","",$F424*$I424*(1-$G424))</f>
        <v>4500</v>
      </c>
      <c r="L424" s="41" t="n">
        <f aca="false">IF($A424="","",$F424*$J424)</f>
        <v>3100</v>
      </c>
      <c r="M424" s="41" t="n">
        <f aca="false">IF($A424="","",$K424-$L424)</f>
        <v>1400</v>
      </c>
    </row>
    <row r="425" customFormat="false" ht="15" hidden="false" customHeight="false" outlineLevel="0" collapsed="false">
      <c r="A425" s="37" t="s">
        <v>524</v>
      </c>
      <c r="B425" s="38" t="n">
        <v>45987</v>
      </c>
      <c r="C425" s="37" t="s">
        <v>88</v>
      </c>
      <c r="D425" s="37" t="s">
        <v>89</v>
      </c>
      <c r="E425" s="37" t="s">
        <v>94</v>
      </c>
      <c r="F425" s="39" t="n">
        <v>97</v>
      </c>
      <c r="G425" s="40" t="n">
        <v>0</v>
      </c>
      <c r="H425" s="8" t="str">
        <f aca="false">IF($A425="","",IFERROR(INDEX(Products!$B$2:$B$50,MATCH($E425,Products!$A$2:$A$50,0)),"Unmapped"))</f>
        <v>Stationery</v>
      </c>
      <c r="I425" s="41" t="n">
        <f aca="false">IF($A425="","",IFERROR(INDEX(Products!$C$2:$C$50,MATCH($E425,Products!$A$2:$A$50,0)),0))</f>
        <v>280</v>
      </c>
      <c r="J425" s="41" t="n">
        <f aca="false">IF($A425="","",IFERROR(INDEX(Products!$D$2:$D$50,MATCH($E425,Products!$A$2:$A$50,0)),0))</f>
        <v>210</v>
      </c>
      <c r="K425" s="41" t="n">
        <f aca="false">IF($A425="","",$F425*$I425*(1-$G425))</f>
        <v>27160</v>
      </c>
      <c r="L425" s="41" t="n">
        <f aca="false">IF($A425="","",$F425*$J425)</f>
        <v>20370</v>
      </c>
      <c r="M425" s="41" t="n">
        <f aca="false">IF($A425="","",$K425-$L425)</f>
        <v>6790</v>
      </c>
    </row>
    <row r="426" customFormat="false" ht="15" hidden="false" customHeight="false" outlineLevel="0" collapsed="false">
      <c r="A426" s="37" t="s">
        <v>525</v>
      </c>
      <c r="B426" s="38" t="n">
        <v>45988</v>
      </c>
      <c r="C426" s="37" t="s">
        <v>105</v>
      </c>
      <c r="D426" s="37" t="s">
        <v>106</v>
      </c>
      <c r="E426" s="37" t="s">
        <v>94</v>
      </c>
      <c r="F426" s="39" t="n">
        <v>165</v>
      </c>
      <c r="G426" s="40" t="n">
        <v>0.15</v>
      </c>
      <c r="H426" s="8" t="str">
        <f aca="false">IF($A426="","",IFERROR(INDEX(Products!$B$2:$B$50,MATCH($E426,Products!$A$2:$A$50,0)),"Unmapped"))</f>
        <v>Stationery</v>
      </c>
      <c r="I426" s="41" t="n">
        <f aca="false">IF($A426="","",IFERROR(INDEX(Products!$C$2:$C$50,MATCH($E426,Products!$A$2:$A$50,0)),0))</f>
        <v>280</v>
      </c>
      <c r="J426" s="41" t="n">
        <f aca="false">IF($A426="","",IFERROR(INDEX(Products!$D$2:$D$50,MATCH($E426,Products!$A$2:$A$50,0)),0))</f>
        <v>210</v>
      </c>
      <c r="K426" s="41" t="n">
        <f aca="false">IF($A426="","",$F426*$I426*(1-$G426))</f>
        <v>39270</v>
      </c>
      <c r="L426" s="41" t="n">
        <f aca="false">IF($A426="","",$F426*$J426)</f>
        <v>34650</v>
      </c>
      <c r="M426" s="41" t="n">
        <f aca="false">IF($A426="","",$K426-$L426)</f>
        <v>4620</v>
      </c>
    </row>
    <row r="427" customFormat="false" ht="15" hidden="false" customHeight="false" outlineLevel="0" collapsed="false">
      <c r="A427" s="37" t="s">
        <v>526</v>
      </c>
      <c r="B427" s="38" t="n">
        <v>45989</v>
      </c>
      <c r="C427" s="37" t="s">
        <v>78</v>
      </c>
      <c r="D427" s="37" t="s">
        <v>79</v>
      </c>
      <c r="E427" s="37" t="s">
        <v>96</v>
      </c>
      <c r="F427" s="39" t="n">
        <v>9</v>
      </c>
      <c r="G427" s="40" t="n">
        <v>0.15</v>
      </c>
      <c r="H427" s="8" t="str">
        <f aca="false">IF($A427="","",IFERROR(INDEX(Products!$B$2:$B$50,MATCH($E427,Products!$A$2:$A$50,0)),"Unmapped"))</f>
        <v>Furniture</v>
      </c>
      <c r="I427" s="41" t="n">
        <f aca="false">IF($A427="","",IFERROR(INDEX(Products!$C$2:$C$50,MATCH($E427,Products!$A$2:$A$50,0)),0))</f>
        <v>4800</v>
      </c>
      <c r="J427" s="41" t="n">
        <f aca="false">IF($A427="","",IFERROR(INDEX(Products!$D$2:$D$50,MATCH($E427,Products!$A$2:$A$50,0)),0))</f>
        <v>3500</v>
      </c>
      <c r="K427" s="41" t="n">
        <f aca="false">IF($A427="","",$F427*$I427*(1-$G427))</f>
        <v>36720</v>
      </c>
      <c r="L427" s="41" t="n">
        <f aca="false">IF($A427="","",$F427*$J427)</f>
        <v>31500</v>
      </c>
      <c r="M427" s="41" t="n">
        <f aca="false">IF($A427="","",$K427-$L427)</f>
        <v>5220</v>
      </c>
    </row>
    <row r="428" customFormat="false" ht="15" hidden="false" customHeight="false" outlineLevel="0" collapsed="false">
      <c r="A428" s="37" t="s">
        <v>527</v>
      </c>
      <c r="B428" s="38" t="n">
        <v>45990</v>
      </c>
      <c r="C428" s="37" t="s">
        <v>82</v>
      </c>
      <c r="D428" s="37" t="s">
        <v>83</v>
      </c>
      <c r="E428" s="37" t="s">
        <v>90</v>
      </c>
      <c r="F428" s="39" t="n">
        <v>153</v>
      </c>
      <c r="G428" s="40" t="n">
        <v>0.05</v>
      </c>
      <c r="H428" s="8" t="str">
        <f aca="false">IF($A428="","",IFERROR(INDEX(Products!$B$2:$B$50,MATCH($E428,Products!$A$2:$A$50,0)),"Unmapped"))</f>
        <v>Stationery</v>
      </c>
      <c r="I428" s="41" t="n">
        <f aca="false">IF($A428="","",IFERROR(INDEX(Products!$C$2:$C$50,MATCH($E428,Products!$A$2:$A$50,0)),0))</f>
        <v>120</v>
      </c>
      <c r="J428" s="41" t="n">
        <f aca="false">IF($A428="","",IFERROR(INDEX(Products!$D$2:$D$50,MATCH($E428,Products!$A$2:$A$50,0)),0))</f>
        <v>80</v>
      </c>
      <c r="K428" s="41" t="n">
        <f aca="false">IF($A428="","",$F428*$I428*(1-$G428))</f>
        <v>17442</v>
      </c>
      <c r="L428" s="41" t="n">
        <f aca="false">IF($A428="","",$F428*$J428)</f>
        <v>12240</v>
      </c>
      <c r="M428" s="41" t="n">
        <f aca="false">IF($A428="","",$K428-$L428)</f>
        <v>5202</v>
      </c>
    </row>
    <row r="429" customFormat="false" ht="15" hidden="false" customHeight="false" outlineLevel="0" collapsed="false">
      <c r="A429" s="37" t="s">
        <v>528</v>
      </c>
      <c r="B429" s="38" t="n">
        <v>45991</v>
      </c>
      <c r="C429" s="37" t="s">
        <v>78</v>
      </c>
      <c r="D429" s="37" t="s">
        <v>86</v>
      </c>
      <c r="E429" s="37" t="s">
        <v>84</v>
      </c>
      <c r="F429" s="39" t="n">
        <v>115</v>
      </c>
      <c r="G429" s="40" t="n">
        <v>0</v>
      </c>
      <c r="H429" s="8" t="str">
        <f aca="false">IF($A429="","",IFERROR(INDEX(Products!$B$2:$B$50,MATCH($E429,Products!$A$2:$A$50,0)),"Unmapped"))</f>
        <v>Stationery</v>
      </c>
      <c r="I429" s="41" t="n">
        <f aca="false">IF($A429="","",IFERROR(INDEX(Products!$C$2:$C$50,MATCH($E429,Products!$A$2:$A$50,0)),0))</f>
        <v>350</v>
      </c>
      <c r="J429" s="41" t="n">
        <f aca="false">IF($A429="","",IFERROR(INDEX(Products!$D$2:$D$50,MATCH($E429,Products!$A$2:$A$50,0)),0))</f>
        <v>240</v>
      </c>
      <c r="K429" s="41" t="n">
        <f aca="false">IF($A429="","",$F429*$I429*(1-$G429))</f>
        <v>40250</v>
      </c>
      <c r="L429" s="41" t="n">
        <f aca="false">IF($A429="","",$F429*$J429)</f>
        <v>27600</v>
      </c>
      <c r="M429" s="41" t="n">
        <f aca="false">IF($A429="","",$K429-$L429)</f>
        <v>12650</v>
      </c>
    </row>
    <row r="430" customFormat="false" ht="15" hidden="false" customHeight="false" outlineLevel="0" collapsed="false">
      <c r="A430" s="37" t="s">
        <v>529</v>
      </c>
      <c r="B430" s="38" t="n">
        <v>45991</v>
      </c>
      <c r="C430" s="37" t="s">
        <v>105</v>
      </c>
      <c r="D430" s="37" t="s">
        <v>116</v>
      </c>
      <c r="E430" s="37" t="s">
        <v>103</v>
      </c>
      <c r="F430" s="39" t="n">
        <v>7</v>
      </c>
      <c r="G430" s="40" t="n">
        <v>0.15</v>
      </c>
      <c r="H430" s="8" t="str">
        <f aca="false">IF($A430="","",IFERROR(INDEX(Products!$B$2:$B$50,MATCH($E430,Products!$A$2:$A$50,0)),"Unmapped"))</f>
        <v>Electronics</v>
      </c>
      <c r="I430" s="41" t="n">
        <f aca="false">IF($A430="","",IFERROR(INDEX(Products!$C$2:$C$50,MATCH($E430,Products!$A$2:$A$50,0)),0))</f>
        <v>900</v>
      </c>
      <c r="J430" s="41" t="n">
        <f aca="false">IF($A430="","",IFERROR(INDEX(Products!$D$2:$D$50,MATCH($E430,Products!$A$2:$A$50,0)),0))</f>
        <v>620</v>
      </c>
      <c r="K430" s="41" t="n">
        <f aca="false">IF($A430="","",$F430*$I430*(1-$G430))</f>
        <v>5355</v>
      </c>
      <c r="L430" s="41" t="n">
        <f aca="false">IF($A430="","",$F430*$J430)</f>
        <v>4340</v>
      </c>
      <c r="M430" s="41" t="n">
        <f aca="false">IF($A430="","",$K430-$L430)</f>
        <v>1015</v>
      </c>
    </row>
    <row r="431" customFormat="false" ht="15" hidden="false" customHeight="false" outlineLevel="0" collapsed="false">
      <c r="A431" s="37" t="s">
        <v>530</v>
      </c>
      <c r="B431" s="38" t="n">
        <v>45991</v>
      </c>
      <c r="C431" s="37" t="s">
        <v>78</v>
      </c>
      <c r="D431" s="37" t="s">
        <v>86</v>
      </c>
      <c r="E431" s="37" t="s">
        <v>107</v>
      </c>
      <c r="F431" s="39" t="n">
        <v>4</v>
      </c>
      <c r="G431" s="40" t="n">
        <v>0</v>
      </c>
      <c r="H431" s="8" t="str">
        <f aca="false">IF($A431="","",IFERROR(INDEX(Products!$B$2:$B$50,MATCH($E431,Products!$A$2:$A$50,0)),"Unmapped"))</f>
        <v>Furniture</v>
      </c>
      <c r="I431" s="41" t="n">
        <f aca="false">IF($A431="","",IFERROR(INDEX(Products!$C$2:$C$50,MATCH($E431,Products!$A$2:$A$50,0)),0))</f>
        <v>7200</v>
      </c>
      <c r="J431" s="41" t="n">
        <f aca="false">IF($A431="","",IFERROR(INDEX(Products!$D$2:$D$50,MATCH($E431,Products!$A$2:$A$50,0)),0))</f>
        <v>5400</v>
      </c>
      <c r="K431" s="41" t="n">
        <f aca="false">IF($A431="","",$F431*$I431*(1-$G431))</f>
        <v>28800</v>
      </c>
      <c r="L431" s="41" t="n">
        <f aca="false">IF($A431="","",$F431*$J431)</f>
        <v>21600</v>
      </c>
      <c r="M431" s="41" t="n">
        <f aca="false">IF($A431="","",$K431-$L431)</f>
        <v>7200</v>
      </c>
    </row>
    <row r="432" customFormat="false" ht="15" hidden="false" customHeight="false" outlineLevel="0" collapsed="false">
      <c r="A432" s="37" t="s">
        <v>531</v>
      </c>
      <c r="B432" s="38" t="n">
        <v>45991</v>
      </c>
      <c r="C432" s="37" t="s">
        <v>88</v>
      </c>
      <c r="D432" s="37" t="s">
        <v>111</v>
      </c>
      <c r="E432" s="37" t="s">
        <v>134</v>
      </c>
      <c r="F432" s="39" t="n">
        <v>13</v>
      </c>
      <c r="G432" s="40" t="n">
        <v>0</v>
      </c>
      <c r="H432" s="8" t="str">
        <f aca="false">IF($A432="","",IFERROR(INDEX(Products!$B$2:$B$50,MATCH($E432,Products!$A$2:$A$50,0)),"Unmapped"))</f>
        <v>Furniture</v>
      </c>
      <c r="I432" s="41" t="n">
        <f aca="false">IF($A432="","",IFERROR(INDEX(Products!$C$2:$C$50,MATCH($E432,Products!$A$2:$A$50,0)),0))</f>
        <v>6100</v>
      </c>
      <c r="J432" s="41" t="n">
        <f aca="false">IF($A432="","",IFERROR(INDEX(Products!$D$2:$D$50,MATCH($E432,Products!$A$2:$A$50,0)),0))</f>
        <v>4500</v>
      </c>
      <c r="K432" s="41" t="n">
        <f aca="false">IF($A432="","",$F432*$I432*(1-$G432))</f>
        <v>79300</v>
      </c>
      <c r="L432" s="41" t="n">
        <f aca="false">IF($A432="","",$F432*$J432)</f>
        <v>58500</v>
      </c>
      <c r="M432" s="41" t="n">
        <f aca="false">IF($A432="","",$K432-$L432)</f>
        <v>20800</v>
      </c>
    </row>
    <row r="433" customFormat="false" ht="15" hidden="false" customHeight="false" outlineLevel="0" collapsed="false">
      <c r="A433" s="37" t="s">
        <v>532</v>
      </c>
      <c r="B433" s="38" t="n">
        <v>45992</v>
      </c>
      <c r="C433" s="37" t="s">
        <v>88</v>
      </c>
      <c r="D433" s="37" t="s">
        <v>89</v>
      </c>
      <c r="E433" s="37" t="s">
        <v>107</v>
      </c>
      <c r="F433" s="39" t="n">
        <v>15</v>
      </c>
      <c r="G433" s="40" t="n">
        <v>0.05</v>
      </c>
      <c r="H433" s="8" t="str">
        <f aca="false">IF($A433="","",IFERROR(INDEX(Products!$B$2:$B$50,MATCH($E433,Products!$A$2:$A$50,0)),"Unmapped"))</f>
        <v>Furniture</v>
      </c>
      <c r="I433" s="41" t="n">
        <f aca="false">IF($A433="","",IFERROR(INDEX(Products!$C$2:$C$50,MATCH($E433,Products!$A$2:$A$50,0)),0))</f>
        <v>7200</v>
      </c>
      <c r="J433" s="41" t="n">
        <f aca="false">IF($A433="","",IFERROR(INDEX(Products!$D$2:$D$50,MATCH($E433,Products!$A$2:$A$50,0)),0))</f>
        <v>5400</v>
      </c>
      <c r="K433" s="41" t="n">
        <f aca="false">IF($A433="","",$F433*$I433*(1-$G433))</f>
        <v>102600</v>
      </c>
      <c r="L433" s="41" t="n">
        <f aca="false">IF($A433="","",$F433*$J433)</f>
        <v>81000</v>
      </c>
      <c r="M433" s="41" t="n">
        <f aca="false">IF($A433="","",$K433-$L433)</f>
        <v>21600</v>
      </c>
    </row>
    <row r="434" customFormat="false" ht="15" hidden="false" customHeight="false" outlineLevel="0" collapsed="false">
      <c r="A434" s="37" t="s">
        <v>533</v>
      </c>
      <c r="B434" s="38" t="n">
        <v>45993</v>
      </c>
      <c r="C434" s="37" t="s">
        <v>105</v>
      </c>
      <c r="D434" s="37" t="s">
        <v>116</v>
      </c>
      <c r="E434" s="37" t="s">
        <v>84</v>
      </c>
      <c r="F434" s="39" t="n">
        <v>167</v>
      </c>
      <c r="G434" s="40" t="n">
        <v>0.05</v>
      </c>
      <c r="H434" s="8" t="str">
        <f aca="false">IF($A434="","",IFERROR(INDEX(Products!$B$2:$B$50,MATCH($E434,Products!$A$2:$A$50,0)),"Unmapped"))</f>
        <v>Stationery</v>
      </c>
      <c r="I434" s="41" t="n">
        <f aca="false">IF($A434="","",IFERROR(INDEX(Products!$C$2:$C$50,MATCH($E434,Products!$A$2:$A$50,0)),0))</f>
        <v>350</v>
      </c>
      <c r="J434" s="41" t="n">
        <f aca="false">IF($A434="","",IFERROR(INDEX(Products!$D$2:$D$50,MATCH($E434,Products!$A$2:$A$50,0)),0))</f>
        <v>240</v>
      </c>
      <c r="K434" s="41" t="n">
        <f aca="false">IF($A434="","",$F434*$I434*(1-$G434))</f>
        <v>55527.5</v>
      </c>
      <c r="L434" s="41" t="n">
        <f aca="false">IF($A434="","",$F434*$J434)</f>
        <v>40080</v>
      </c>
      <c r="M434" s="41" t="n">
        <f aca="false">IF($A434="","",$K434-$L434)</f>
        <v>15447.5</v>
      </c>
    </row>
    <row r="435" customFormat="false" ht="15" hidden="false" customHeight="false" outlineLevel="0" collapsed="false">
      <c r="A435" s="37" t="s">
        <v>534</v>
      </c>
      <c r="B435" s="38" t="n">
        <v>45993</v>
      </c>
      <c r="C435" s="37" t="s">
        <v>105</v>
      </c>
      <c r="D435" s="37" t="s">
        <v>106</v>
      </c>
      <c r="E435" s="37" t="s">
        <v>84</v>
      </c>
      <c r="F435" s="39" t="n">
        <v>61</v>
      </c>
      <c r="G435" s="40" t="n">
        <v>0</v>
      </c>
      <c r="H435" s="8" t="str">
        <f aca="false">IF($A435="","",IFERROR(INDEX(Products!$B$2:$B$50,MATCH($E435,Products!$A$2:$A$50,0)),"Unmapped"))</f>
        <v>Stationery</v>
      </c>
      <c r="I435" s="41" t="n">
        <f aca="false">IF($A435="","",IFERROR(INDEX(Products!$C$2:$C$50,MATCH($E435,Products!$A$2:$A$50,0)),0))</f>
        <v>350</v>
      </c>
      <c r="J435" s="41" t="n">
        <f aca="false">IF($A435="","",IFERROR(INDEX(Products!$D$2:$D$50,MATCH($E435,Products!$A$2:$A$50,0)),0))</f>
        <v>240</v>
      </c>
      <c r="K435" s="41" t="n">
        <f aca="false">IF($A435="","",$F435*$I435*(1-$G435))</f>
        <v>21350</v>
      </c>
      <c r="L435" s="41" t="n">
        <f aca="false">IF($A435="","",$F435*$J435)</f>
        <v>14640</v>
      </c>
      <c r="M435" s="41" t="n">
        <f aca="false">IF($A435="","",$K435-$L435)</f>
        <v>6710</v>
      </c>
    </row>
    <row r="436" customFormat="false" ht="15" hidden="false" customHeight="false" outlineLevel="0" collapsed="false">
      <c r="A436" s="37" t="s">
        <v>535</v>
      </c>
      <c r="B436" s="38" t="n">
        <v>45994</v>
      </c>
      <c r="C436" s="37" t="s">
        <v>82</v>
      </c>
      <c r="D436" s="37" t="s">
        <v>83</v>
      </c>
      <c r="E436" s="37" t="s">
        <v>94</v>
      </c>
      <c r="F436" s="39" t="n">
        <v>75</v>
      </c>
      <c r="G436" s="40" t="n">
        <v>0</v>
      </c>
      <c r="H436" s="8" t="str">
        <f aca="false">IF($A436="","",IFERROR(INDEX(Products!$B$2:$B$50,MATCH($E436,Products!$A$2:$A$50,0)),"Unmapped"))</f>
        <v>Stationery</v>
      </c>
      <c r="I436" s="41" t="n">
        <f aca="false">IF($A436="","",IFERROR(INDEX(Products!$C$2:$C$50,MATCH($E436,Products!$A$2:$A$50,0)),0))</f>
        <v>280</v>
      </c>
      <c r="J436" s="41" t="n">
        <f aca="false">IF($A436="","",IFERROR(INDEX(Products!$D$2:$D$50,MATCH($E436,Products!$A$2:$A$50,0)),0))</f>
        <v>210</v>
      </c>
      <c r="K436" s="41" t="n">
        <f aca="false">IF($A436="","",$F436*$I436*(1-$G436))</f>
        <v>21000</v>
      </c>
      <c r="L436" s="41" t="n">
        <f aca="false">IF($A436="","",$F436*$J436)</f>
        <v>15750</v>
      </c>
      <c r="M436" s="41" t="n">
        <f aca="false">IF($A436="","",$K436-$L436)</f>
        <v>5250</v>
      </c>
    </row>
    <row r="437" customFormat="false" ht="15" hidden="false" customHeight="false" outlineLevel="0" collapsed="false">
      <c r="A437" s="37" t="s">
        <v>536</v>
      </c>
      <c r="B437" s="38" t="n">
        <v>45996</v>
      </c>
      <c r="C437" s="37" t="s">
        <v>78</v>
      </c>
      <c r="D437" s="37" t="s">
        <v>86</v>
      </c>
      <c r="E437" s="37" t="s">
        <v>107</v>
      </c>
      <c r="F437" s="39" t="n">
        <v>9</v>
      </c>
      <c r="G437" s="40" t="n">
        <v>0.1</v>
      </c>
      <c r="H437" s="8" t="str">
        <f aca="false">IF($A437="","",IFERROR(INDEX(Products!$B$2:$B$50,MATCH($E437,Products!$A$2:$A$50,0)),"Unmapped"))</f>
        <v>Furniture</v>
      </c>
      <c r="I437" s="41" t="n">
        <f aca="false">IF($A437="","",IFERROR(INDEX(Products!$C$2:$C$50,MATCH($E437,Products!$A$2:$A$50,0)),0))</f>
        <v>7200</v>
      </c>
      <c r="J437" s="41" t="n">
        <f aca="false">IF($A437="","",IFERROR(INDEX(Products!$D$2:$D$50,MATCH($E437,Products!$A$2:$A$50,0)),0))</f>
        <v>5400</v>
      </c>
      <c r="K437" s="41" t="n">
        <f aca="false">IF($A437="","",$F437*$I437*(1-$G437))</f>
        <v>58320</v>
      </c>
      <c r="L437" s="41" t="n">
        <f aca="false">IF($A437="","",$F437*$J437)</f>
        <v>48600</v>
      </c>
      <c r="M437" s="41" t="n">
        <f aca="false">IF($A437="","",$K437-$L437)</f>
        <v>9720</v>
      </c>
    </row>
    <row r="438" customFormat="false" ht="15" hidden="false" customHeight="false" outlineLevel="0" collapsed="false">
      <c r="A438" s="37" t="s">
        <v>537</v>
      </c>
      <c r="B438" s="38" t="n">
        <v>45996</v>
      </c>
      <c r="C438" s="37" t="s">
        <v>105</v>
      </c>
      <c r="D438" s="37" t="s">
        <v>106</v>
      </c>
      <c r="E438" s="37" t="s">
        <v>114</v>
      </c>
      <c r="F438" s="39" t="n">
        <v>19</v>
      </c>
      <c r="G438" s="40" t="n">
        <v>0.1</v>
      </c>
      <c r="H438" s="8" t="str">
        <f aca="false">IF($A438="","",IFERROR(INDEX(Products!$B$2:$B$50,MATCH($E438,Products!$A$2:$A$50,0)),"Unmapped"))</f>
        <v>Pantry</v>
      </c>
      <c r="I438" s="41" t="n">
        <f aca="false">IF($A438="","",IFERROR(INDEX(Products!$C$2:$C$50,MATCH($E438,Products!$A$2:$A$50,0)),0))</f>
        <v>1500</v>
      </c>
      <c r="J438" s="41" t="n">
        <f aca="false">IF($A438="","",IFERROR(INDEX(Products!$D$2:$D$50,MATCH($E438,Products!$A$2:$A$50,0)),0))</f>
        <v>1100</v>
      </c>
      <c r="K438" s="41" t="n">
        <f aca="false">IF($A438="","",$F438*$I438*(1-$G438))</f>
        <v>25650</v>
      </c>
      <c r="L438" s="41" t="n">
        <f aca="false">IF($A438="","",$F438*$J438)</f>
        <v>20900</v>
      </c>
      <c r="M438" s="41" t="n">
        <f aca="false">IF($A438="","",$K438-$L438)</f>
        <v>4750</v>
      </c>
    </row>
    <row r="439" customFormat="false" ht="15" hidden="false" customHeight="false" outlineLevel="0" collapsed="false">
      <c r="A439" s="37" t="s">
        <v>538</v>
      </c>
      <c r="B439" s="38" t="n">
        <v>45996</v>
      </c>
      <c r="C439" s="37" t="s">
        <v>88</v>
      </c>
      <c r="D439" s="37" t="s">
        <v>111</v>
      </c>
      <c r="E439" s="37" t="s">
        <v>94</v>
      </c>
      <c r="F439" s="39" t="n">
        <v>79</v>
      </c>
      <c r="G439" s="40" t="n">
        <v>0.1</v>
      </c>
      <c r="H439" s="8" t="str">
        <f aca="false">IF($A439="","",IFERROR(INDEX(Products!$B$2:$B$50,MATCH($E439,Products!$A$2:$A$50,0)),"Unmapped"))</f>
        <v>Stationery</v>
      </c>
      <c r="I439" s="41" t="n">
        <f aca="false">IF($A439="","",IFERROR(INDEX(Products!$C$2:$C$50,MATCH($E439,Products!$A$2:$A$50,0)),0))</f>
        <v>280</v>
      </c>
      <c r="J439" s="41" t="n">
        <f aca="false">IF($A439="","",IFERROR(INDEX(Products!$D$2:$D$50,MATCH($E439,Products!$A$2:$A$50,0)),0))</f>
        <v>210</v>
      </c>
      <c r="K439" s="41" t="n">
        <f aca="false">IF($A439="","",$F439*$I439*(1-$G439))</f>
        <v>19908</v>
      </c>
      <c r="L439" s="41" t="n">
        <f aca="false">IF($A439="","",$F439*$J439)</f>
        <v>16590</v>
      </c>
      <c r="M439" s="41" t="n">
        <f aca="false">IF($A439="","",$K439-$L439)</f>
        <v>3318</v>
      </c>
    </row>
    <row r="440" customFormat="false" ht="15" hidden="false" customHeight="false" outlineLevel="0" collapsed="false">
      <c r="A440" s="37" t="s">
        <v>539</v>
      </c>
      <c r="B440" s="38" t="n">
        <v>45998</v>
      </c>
      <c r="C440" s="37" t="s">
        <v>78</v>
      </c>
      <c r="D440" s="37" t="s">
        <v>86</v>
      </c>
      <c r="E440" s="37" t="s">
        <v>96</v>
      </c>
      <c r="F440" s="39" t="n">
        <v>15</v>
      </c>
      <c r="G440" s="40" t="n">
        <v>0.1</v>
      </c>
      <c r="H440" s="8" t="str">
        <f aca="false">IF($A440="","",IFERROR(INDEX(Products!$B$2:$B$50,MATCH($E440,Products!$A$2:$A$50,0)),"Unmapped"))</f>
        <v>Furniture</v>
      </c>
      <c r="I440" s="41" t="n">
        <f aca="false">IF($A440="","",IFERROR(INDEX(Products!$C$2:$C$50,MATCH($E440,Products!$A$2:$A$50,0)),0))</f>
        <v>4800</v>
      </c>
      <c r="J440" s="41" t="n">
        <f aca="false">IF($A440="","",IFERROR(INDEX(Products!$D$2:$D$50,MATCH($E440,Products!$A$2:$A$50,0)),0))</f>
        <v>3500</v>
      </c>
      <c r="K440" s="41" t="n">
        <f aca="false">IF($A440="","",$F440*$I440*(1-$G440))</f>
        <v>64800</v>
      </c>
      <c r="L440" s="41" t="n">
        <f aca="false">IF($A440="","",$F440*$J440)</f>
        <v>52500</v>
      </c>
      <c r="M440" s="41" t="n">
        <f aca="false">IF($A440="","",$K440-$L440)</f>
        <v>12300</v>
      </c>
    </row>
    <row r="441" customFormat="false" ht="15" hidden="false" customHeight="false" outlineLevel="0" collapsed="false">
      <c r="A441" s="37" t="s">
        <v>540</v>
      </c>
      <c r="B441" s="38" t="n">
        <v>45998</v>
      </c>
      <c r="C441" s="37" t="s">
        <v>82</v>
      </c>
      <c r="D441" s="37" t="s">
        <v>83</v>
      </c>
      <c r="E441" s="37" t="s">
        <v>94</v>
      </c>
      <c r="F441" s="39" t="n">
        <v>146</v>
      </c>
      <c r="G441" s="40" t="n">
        <v>0.05</v>
      </c>
      <c r="H441" s="8" t="str">
        <f aca="false">IF($A441="","",IFERROR(INDEX(Products!$B$2:$B$50,MATCH($E441,Products!$A$2:$A$50,0)),"Unmapped"))</f>
        <v>Stationery</v>
      </c>
      <c r="I441" s="41" t="n">
        <f aca="false">IF($A441="","",IFERROR(INDEX(Products!$C$2:$C$50,MATCH($E441,Products!$A$2:$A$50,0)),0))</f>
        <v>280</v>
      </c>
      <c r="J441" s="41" t="n">
        <f aca="false">IF($A441="","",IFERROR(INDEX(Products!$D$2:$D$50,MATCH($E441,Products!$A$2:$A$50,0)),0))</f>
        <v>210</v>
      </c>
      <c r="K441" s="41" t="n">
        <f aca="false">IF($A441="","",$F441*$I441*(1-$G441))</f>
        <v>38836</v>
      </c>
      <c r="L441" s="41" t="n">
        <f aca="false">IF($A441="","",$F441*$J441)</f>
        <v>30660</v>
      </c>
      <c r="M441" s="41" t="n">
        <f aca="false">IF($A441="","",$K441-$L441)</f>
        <v>8176</v>
      </c>
    </row>
    <row r="442" customFormat="false" ht="15" hidden="false" customHeight="false" outlineLevel="0" collapsed="false">
      <c r="A442" s="37" t="s">
        <v>541</v>
      </c>
      <c r="B442" s="38" t="n">
        <v>45998</v>
      </c>
      <c r="C442" s="37" t="s">
        <v>105</v>
      </c>
      <c r="D442" s="37" t="s">
        <v>106</v>
      </c>
      <c r="E442" s="37" t="s">
        <v>103</v>
      </c>
      <c r="F442" s="39" t="n">
        <v>26</v>
      </c>
      <c r="G442" s="40" t="n">
        <v>0.05</v>
      </c>
      <c r="H442" s="8" t="str">
        <f aca="false">IF($A442="","",IFERROR(INDEX(Products!$B$2:$B$50,MATCH($E442,Products!$A$2:$A$50,0)),"Unmapped"))</f>
        <v>Electronics</v>
      </c>
      <c r="I442" s="41" t="n">
        <f aca="false">IF($A442="","",IFERROR(INDEX(Products!$C$2:$C$50,MATCH($E442,Products!$A$2:$A$50,0)),0))</f>
        <v>900</v>
      </c>
      <c r="J442" s="41" t="n">
        <f aca="false">IF($A442="","",IFERROR(INDEX(Products!$D$2:$D$50,MATCH($E442,Products!$A$2:$A$50,0)),0))</f>
        <v>620</v>
      </c>
      <c r="K442" s="41" t="n">
        <f aca="false">IF($A442="","",$F442*$I442*(1-$G442))</f>
        <v>22230</v>
      </c>
      <c r="L442" s="41" t="n">
        <f aca="false">IF($A442="","",$F442*$J442)</f>
        <v>16120</v>
      </c>
      <c r="M442" s="41" t="n">
        <f aca="false">IF($A442="","",$K442-$L442)</f>
        <v>6110</v>
      </c>
    </row>
    <row r="443" customFormat="false" ht="15" hidden="false" customHeight="false" outlineLevel="0" collapsed="false">
      <c r="A443" s="37" t="s">
        <v>542</v>
      </c>
      <c r="B443" s="38" t="n">
        <v>45998</v>
      </c>
      <c r="C443" s="37" t="s">
        <v>82</v>
      </c>
      <c r="D443" s="37" t="s">
        <v>83</v>
      </c>
      <c r="E443" s="37" t="s">
        <v>121</v>
      </c>
      <c r="F443" s="39" t="n">
        <v>19</v>
      </c>
      <c r="G443" s="40" t="n">
        <v>0</v>
      </c>
      <c r="H443" s="8" t="str">
        <f aca="false">IF($A443="","",IFERROR(INDEX(Products!$B$2:$B$50,MATCH($E443,Products!$A$2:$A$50,0)),"Unmapped"))</f>
        <v>Electronics</v>
      </c>
      <c r="I443" s="41" t="n">
        <f aca="false">IF($A443="","",IFERROR(INDEX(Products!$C$2:$C$50,MATCH($E443,Products!$A$2:$A$50,0)),0))</f>
        <v>650</v>
      </c>
      <c r="J443" s="41" t="n">
        <f aca="false">IF($A443="","",IFERROR(INDEX(Products!$D$2:$D$50,MATCH($E443,Products!$A$2:$A$50,0)),0))</f>
        <v>430</v>
      </c>
      <c r="K443" s="41" t="n">
        <f aca="false">IF($A443="","",$F443*$I443*(1-$G443))</f>
        <v>12350</v>
      </c>
      <c r="L443" s="41" t="n">
        <f aca="false">IF($A443="","",$F443*$J443)</f>
        <v>8170</v>
      </c>
      <c r="M443" s="41" t="n">
        <f aca="false">IF($A443="","",$K443-$L443)</f>
        <v>4180</v>
      </c>
    </row>
    <row r="444" customFormat="false" ht="15" hidden="false" customHeight="false" outlineLevel="0" collapsed="false">
      <c r="A444" s="37" t="s">
        <v>543</v>
      </c>
      <c r="B444" s="38" t="n">
        <v>45999</v>
      </c>
      <c r="C444" s="37" t="s">
        <v>82</v>
      </c>
      <c r="D444" s="37" t="s">
        <v>83</v>
      </c>
      <c r="E444" s="37" t="s">
        <v>157</v>
      </c>
      <c r="F444" s="39" t="n">
        <v>15</v>
      </c>
      <c r="G444" s="40" t="n">
        <v>0</v>
      </c>
      <c r="H444" s="8" t="str">
        <f aca="false">IF($A444="","",IFERROR(INDEX(Products!$B$2:$B$50,MATCH($E444,Products!$A$2:$A$50,0)),"Unmapped"))</f>
        <v>Electronics</v>
      </c>
      <c r="I444" s="41" t="n">
        <f aca="false">IF($A444="","",IFERROR(INDEX(Products!$C$2:$C$50,MATCH($E444,Products!$A$2:$A$50,0)),0))</f>
        <v>8900</v>
      </c>
      <c r="J444" s="41" t="n">
        <f aca="false">IF($A444="","",IFERROR(INDEX(Products!$D$2:$D$50,MATCH($E444,Products!$A$2:$A$50,0)),0))</f>
        <v>7000</v>
      </c>
      <c r="K444" s="41" t="n">
        <f aca="false">IF($A444="","",$F444*$I444*(1-$G444))</f>
        <v>133500</v>
      </c>
      <c r="L444" s="41" t="n">
        <f aca="false">IF($A444="","",$F444*$J444)</f>
        <v>105000</v>
      </c>
      <c r="M444" s="41" t="n">
        <f aca="false">IF($A444="","",$K444-$L444)</f>
        <v>28500</v>
      </c>
    </row>
    <row r="445" customFormat="false" ht="15" hidden="false" customHeight="false" outlineLevel="0" collapsed="false">
      <c r="A445" s="37" t="s">
        <v>544</v>
      </c>
      <c r="B445" s="38" t="n">
        <v>45999</v>
      </c>
      <c r="C445" s="37" t="s">
        <v>78</v>
      </c>
      <c r="D445" s="37" t="s">
        <v>79</v>
      </c>
      <c r="E445" s="37" t="s">
        <v>114</v>
      </c>
      <c r="F445" s="39" t="n">
        <v>30</v>
      </c>
      <c r="G445" s="40" t="n">
        <v>0.1</v>
      </c>
      <c r="H445" s="8" t="str">
        <f aca="false">IF($A445="","",IFERROR(INDEX(Products!$B$2:$B$50,MATCH($E445,Products!$A$2:$A$50,0)),"Unmapped"))</f>
        <v>Pantry</v>
      </c>
      <c r="I445" s="41" t="n">
        <f aca="false">IF($A445="","",IFERROR(INDEX(Products!$C$2:$C$50,MATCH($E445,Products!$A$2:$A$50,0)),0))</f>
        <v>1500</v>
      </c>
      <c r="J445" s="41" t="n">
        <f aca="false">IF($A445="","",IFERROR(INDEX(Products!$D$2:$D$50,MATCH($E445,Products!$A$2:$A$50,0)),0))</f>
        <v>1100</v>
      </c>
      <c r="K445" s="41" t="n">
        <f aca="false">IF($A445="","",$F445*$I445*(1-$G445))</f>
        <v>40500</v>
      </c>
      <c r="L445" s="41" t="n">
        <f aca="false">IF($A445="","",$F445*$J445)</f>
        <v>33000</v>
      </c>
      <c r="M445" s="41" t="n">
        <f aca="false">IF($A445="","",$K445-$L445)</f>
        <v>7500</v>
      </c>
    </row>
    <row r="446" customFormat="false" ht="15" hidden="false" customHeight="false" outlineLevel="0" collapsed="false">
      <c r="A446" s="37" t="s">
        <v>545</v>
      </c>
      <c r="B446" s="38" t="n">
        <v>45999</v>
      </c>
      <c r="C446" s="37" t="s">
        <v>88</v>
      </c>
      <c r="D446" s="37" t="s">
        <v>111</v>
      </c>
      <c r="E446" s="37" t="s">
        <v>114</v>
      </c>
      <c r="F446" s="39" t="n">
        <v>14</v>
      </c>
      <c r="G446" s="40" t="n">
        <v>0</v>
      </c>
      <c r="H446" s="8" t="str">
        <f aca="false">IF($A446="","",IFERROR(INDEX(Products!$B$2:$B$50,MATCH($E446,Products!$A$2:$A$50,0)),"Unmapped"))</f>
        <v>Pantry</v>
      </c>
      <c r="I446" s="41" t="n">
        <f aca="false">IF($A446="","",IFERROR(INDEX(Products!$C$2:$C$50,MATCH($E446,Products!$A$2:$A$50,0)),0))</f>
        <v>1500</v>
      </c>
      <c r="J446" s="41" t="n">
        <f aca="false">IF($A446="","",IFERROR(INDEX(Products!$D$2:$D$50,MATCH($E446,Products!$A$2:$A$50,0)),0))</f>
        <v>1100</v>
      </c>
      <c r="K446" s="41" t="n">
        <f aca="false">IF($A446="","",$F446*$I446*(1-$G446))</f>
        <v>21000</v>
      </c>
      <c r="L446" s="41" t="n">
        <f aca="false">IF($A446="","",$F446*$J446)</f>
        <v>15400</v>
      </c>
      <c r="M446" s="41" t="n">
        <f aca="false">IF($A446="","",$K446-$L446)</f>
        <v>5600</v>
      </c>
    </row>
    <row r="447" customFormat="false" ht="15" hidden="false" customHeight="false" outlineLevel="0" collapsed="false">
      <c r="A447" s="37" t="s">
        <v>546</v>
      </c>
      <c r="B447" s="38" t="n">
        <v>46000</v>
      </c>
      <c r="C447" s="37" t="s">
        <v>78</v>
      </c>
      <c r="D447" s="37" t="s">
        <v>79</v>
      </c>
      <c r="E447" s="37" t="s">
        <v>121</v>
      </c>
      <c r="F447" s="39" t="n">
        <v>4</v>
      </c>
      <c r="G447" s="40" t="n">
        <v>0.05</v>
      </c>
      <c r="H447" s="8" t="str">
        <f aca="false">IF($A447="","",IFERROR(INDEX(Products!$B$2:$B$50,MATCH($E447,Products!$A$2:$A$50,0)),"Unmapped"))</f>
        <v>Electronics</v>
      </c>
      <c r="I447" s="41" t="n">
        <f aca="false">IF($A447="","",IFERROR(INDEX(Products!$C$2:$C$50,MATCH($E447,Products!$A$2:$A$50,0)),0))</f>
        <v>650</v>
      </c>
      <c r="J447" s="41" t="n">
        <f aca="false">IF($A447="","",IFERROR(INDEX(Products!$D$2:$D$50,MATCH($E447,Products!$A$2:$A$50,0)),0))</f>
        <v>430</v>
      </c>
      <c r="K447" s="41" t="n">
        <f aca="false">IF($A447="","",$F447*$I447*(1-$G447))</f>
        <v>2470</v>
      </c>
      <c r="L447" s="41" t="n">
        <f aca="false">IF($A447="","",$F447*$J447)</f>
        <v>1720</v>
      </c>
      <c r="M447" s="41" t="n">
        <f aca="false">IF($A447="","",$K447-$L447)</f>
        <v>750</v>
      </c>
    </row>
    <row r="448" customFormat="false" ht="15" hidden="false" customHeight="false" outlineLevel="0" collapsed="false">
      <c r="A448" s="37" t="s">
        <v>547</v>
      </c>
      <c r="B448" s="38" t="n">
        <v>46000</v>
      </c>
      <c r="C448" s="37" t="s">
        <v>78</v>
      </c>
      <c r="D448" s="37" t="s">
        <v>79</v>
      </c>
      <c r="E448" s="37" t="s">
        <v>90</v>
      </c>
      <c r="F448" s="39" t="n">
        <v>115</v>
      </c>
      <c r="G448" s="40" t="n">
        <v>0.05</v>
      </c>
      <c r="H448" s="8" t="str">
        <f aca="false">IF($A448="","",IFERROR(INDEX(Products!$B$2:$B$50,MATCH($E448,Products!$A$2:$A$50,0)),"Unmapped"))</f>
        <v>Stationery</v>
      </c>
      <c r="I448" s="41" t="n">
        <f aca="false">IF($A448="","",IFERROR(INDEX(Products!$C$2:$C$50,MATCH($E448,Products!$A$2:$A$50,0)),0))</f>
        <v>120</v>
      </c>
      <c r="J448" s="41" t="n">
        <f aca="false">IF($A448="","",IFERROR(INDEX(Products!$D$2:$D$50,MATCH($E448,Products!$A$2:$A$50,0)),0))</f>
        <v>80</v>
      </c>
      <c r="K448" s="41" t="n">
        <f aca="false">IF($A448="","",$F448*$I448*(1-$G448))</f>
        <v>13110</v>
      </c>
      <c r="L448" s="41" t="n">
        <f aca="false">IF($A448="","",$F448*$J448)</f>
        <v>9200</v>
      </c>
      <c r="M448" s="41" t="n">
        <f aca="false">IF($A448="","",$K448-$L448)</f>
        <v>3910</v>
      </c>
    </row>
    <row r="449" customFormat="false" ht="15" hidden="false" customHeight="false" outlineLevel="0" collapsed="false">
      <c r="A449" s="37" t="s">
        <v>548</v>
      </c>
      <c r="B449" s="38" t="n">
        <v>46001</v>
      </c>
      <c r="C449" s="37" t="s">
        <v>88</v>
      </c>
      <c r="D449" s="37" t="s">
        <v>111</v>
      </c>
      <c r="E449" s="37" t="s">
        <v>94</v>
      </c>
      <c r="F449" s="39" t="n">
        <v>29</v>
      </c>
      <c r="G449" s="40" t="n">
        <v>0</v>
      </c>
      <c r="H449" s="8" t="str">
        <f aca="false">IF($A449="","",IFERROR(INDEX(Products!$B$2:$B$50,MATCH($E449,Products!$A$2:$A$50,0)),"Unmapped"))</f>
        <v>Stationery</v>
      </c>
      <c r="I449" s="41" t="n">
        <f aca="false">IF($A449="","",IFERROR(INDEX(Products!$C$2:$C$50,MATCH($E449,Products!$A$2:$A$50,0)),0))</f>
        <v>280</v>
      </c>
      <c r="J449" s="41" t="n">
        <f aca="false">IF($A449="","",IFERROR(INDEX(Products!$D$2:$D$50,MATCH($E449,Products!$A$2:$A$50,0)),0))</f>
        <v>210</v>
      </c>
      <c r="K449" s="41" t="n">
        <f aca="false">IF($A449="","",$F449*$I449*(1-$G449))</f>
        <v>8120</v>
      </c>
      <c r="L449" s="41" t="n">
        <f aca="false">IF($A449="","",$F449*$J449)</f>
        <v>6090</v>
      </c>
      <c r="M449" s="41" t="n">
        <f aca="false">IF($A449="","",$K449-$L449)</f>
        <v>2030</v>
      </c>
    </row>
    <row r="450" customFormat="false" ht="15" hidden="false" customHeight="false" outlineLevel="0" collapsed="false">
      <c r="A450" s="37" t="s">
        <v>549</v>
      </c>
      <c r="B450" s="38" t="n">
        <v>46002</v>
      </c>
      <c r="C450" s="37" t="s">
        <v>88</v>
      </c>
      <c r="D450" s="37" t="s">
        <v>111</v>
      </c>
      <c r="E450" s="37" t="s">
        <v>94</v>
      </c>
      <c r="F450" s="39" t="n">
        <v>179</v>
      </c>
      <c r="G450" s="40" t="n">
        <v>0.05</v>
      </c>
      <c r="H450" s="8" t="str">
        <f aca="false">IF($A450="","",IFERROR(INDEX(Products!$B$2:$B$50,MATCH($E450,Products!$A$2:$A$50,0)),"Unmapped"))</f>
        <v>Stationery</v>
      </c>
      <c r="I450" s="41" t="n">
        <f aca="false">IF($A450="","",IFERROR(INDEX(Products!$C$2:$C$50,MATCH($E450,Products!$A$2:$A$50,0)),0))</f>
        <v>280</v>
      </c>
      <c r="J450" s="41" t="n">
        <f aca="false">IF($A450="","",IFERROR(INDEX(Products!$D$2:$D$50,MATCH($E450,Products!$A$2:$A$50,0)),0))</f>
        <v>210</v>
      </c>
      <c r="K450" s="41" t="n">
        <f aca="false">IF($A450="","",$F450*$I450*(1-$G450))</f>
        <v>47614</v>
      </c>
      <c r="L450" s="41" t="n">
        <f aca="false">IF($A450="","",$F450*$J450)</f>
        <v>37590</v>
      </c>
      <c r="M450" s="41" t="n">
        <f aca="false">IF($A450="","",$K450-$L450)</f>
        <v>10024</v>
      </c>
    </row>
    <row r="451" customFormat="false" ht="15" hidden="false" customHeight="false" outlineLevel="0" collapsed="false">
      <c r="A451" s="37" t="s">
        <v>550</v>
      </c>
      <c r="B451" s="38" t="n">
        <v>46002</v>
      </c>
      <c r="C451" s="37" t="s">
        <v>78</v>
      </c>
      <c r="D451" s="37" t="s">
        <v>79</v>
      </c>
      <c r="E451" s="37" t="s">
        <v>114</v>
      </c>
      <c r="F451" s="39" t="n">
        <v>13</v>
      </c>
      <c r="G451" s="40" t="n">
        <v>0.1</v>
      </c>
      <c r="H451" s="8" t="str">
        <f aca="false">IF($A451="","",IFERROR(INDEX(Products!$B$2:$B$50,MATCH($E451,Products!$A$2:$A$50,0)),"Unmapped"))</f>
        <v>Pantry</v>
      </c>
      <c r="I451" s="41" t="n">
        <f aca="false">IF($A451="","",IFERROR(INDEX(Products!$C$2:$C$50,MATCH($E451,Products!$A$2:$A$50,0)),0))</f>
        <v>1500</v>
      </c>
      <c r="J451" s="41" t="n">
        <f aca="false">IF($A451="","",IFERROR(INDEX(Products!$D$2:$D$50,MATCH($E451,Products!$A$2:$A$50,0)),0))</f>
        <v>1100</v>
      </c>
      <c r="K451" s="41" t="n">
        <f aca="false">IF($A451="","",$F451*$I451*(1-$G451))</f>
        <v>17550</v>
      </c>
      <c r="L451" s="41" t="n">
        <f aca="false">IF($A451="","",$F451*$J451)</f>
        <v>14300</v>
      </c>
      <c r="M451" s="41" t="n">
        <f aca="false">IF($A451="","",$K451-$L451)</f>
        <v>3250</v>
      </c>
    </row>
    <row r="452" customFormat="false" ht="15" hidden="false" customHeight="false" outlineLevel="0" collapsed="false">
      <c r="A452" s="37" t="s">
        <v>551</v>
      </c>
      <c r="B452" s="38" t="n">
        <v>46003</v>
      </c>
      <c r="C452" s="37" t="s">
        <v>78</v>
      </c>
      <c r="D452" s="37" t="s">
        <v>79</v>
      </c>
      <c r="E452" s="37" t="s">
        <v>114</v>
      </c>
      <c r="F452" s="39" t="n">
        <v>26</v>
      </c>
      <c r="G452" s="40" t="n">
        <v>0.1</v>
      </c>
      <c r="H452" s="8" t="str">
        <f aca="false">IF($A452="","",IFERROR(INDEX(Products!$B$2:$B$50,MATCH($E452,Products!$A$2:$A$50,0)),"Unmapped"))</f>
        <v>Pantry</v>
      </c>
      <c r="I452" s="41" t="n">
        <f aca="false">IF($A452="","",IFERROR(INDEX(Products!$C$2:$C$50,MATCH($E452,Products!$A$2:$A$50,0)),0))</f>
        <v>1500</v>
      </c>
      <c r="J452" s="41" t="n">
        <f aca="false">IF($A452="","",IFERROR(INDEX(Products!$D$2:$D$50,MATCH($E452,Products!$A$2:$A$50,0)),0))</f>
        <v>1100</v>
      </c>
      <c r="K452" s="41" t="n">
        <f aca="false">IF($A452="","",$F452*$I452*(1-$G452))</f>
        <v>35100</v>
      </c>
      <c r="L452" s="41" t="n">
        <f aca="false">IF($A452="","",$F452*$J452)</f>
        <v>28600</v>
      </c>
      <c r="M452" s="41" t="n">
        <f aca="false">IF($A452="","",$K452-$L452)</f>
        <v>6500</v>
      </c>
    </row>
    <row r="453" customFormat="false" ht="15" hidden="false" customHeight="false" outlineLevel="0" collapsed="false">
      <c r="A453" s="37" t="s">
        <v>552</v>
      </c>
      <c r="B453" s="38" t="n">
        <v>46004</v>
      </c>
      <c r="C453" s="37" t="s">
        <v>105</v>
      </c>
      <c r="D453" s="37" t="s">
        <v>106</v>
      </c>
      <c r="E453" s="37" t="s">
        <v>90</v>
      </c>
      <c r="F453" s="39" t="n">
        <v>101</v>
      </c>
      <c r="G453" s="40" t="n">
        <v>0.15</v>
      </c>
      <c r="H453" s="8" t="str">
        <f aca="false">IF($A453="","",IFERROR(INDEX(Products!$B$2:$B$50,MATCH($E453,Products!$A$2:$A$50,0)),"Unmapped"))</f>
        <v>Stationery</v>
      </c>
      <c r="I453" s="41" t="n">
        <f aca="false">IF($A453="","",IFERROR(INDEX(Products!$C$2:$C$50,MATCH($E453,Products!$A$2:$A$50,0)),0))</f>
        <v>120</v>
      </c>
      <c r="J453" s="41" t="n">
        <f aca="false">IF($A453="","",IFERROR(INDEX(Products!$D$2:$D$50,MATCH($E453,Products!$A$2:$A$50,0)),0))</f>
        <v>80</v>
      </c>
      <c r="K453" s="41" t="n">
        <f aca="false">IF($A453="","",$F453*$I453*(1-$G453))</f>
        <v>10302</v>
      </c>
      <c r="L453" s="41" t="n">
        <f aca="false">IF($A453="","",$F453*$J453)</f>
        <v>8080</v>
      </c>
      <c r="M453" s="41" t="n">
        <f aca="false">IF($A453="","",$K453-$L453)</f>
        <v>2222</v>
      </c>
    </row>
    <row r="454" customFormat="false" ht="15" hidden="false" customHeight="false" outlineLevel="0" collapsed="false">
      <c r="A454" s="37" t="s">
        <v>553</v>
      </c>
      <c r="B454" s="38" t="n">
        <v>46006</v>
      </c>
      <c r="C454" s="37" t="s">
        <v>78</v>
      </c>
      <c r="D454" s="37" t="s">
        <v>79</v>
      </c>
      <c r="E454" s="37" t="s">
        <v>80</v>
      </c>
      <c r="F454" s="39" t="n">
        <v>10</v>
      </c>
      <c r="G454" s="40" t="n">
        <v>0.05</v>
      </c>
      <c r="H454" s="8" t="str">
        <f aca="false">IF($A454="","",IFERROR(INDEX(Products!$B$2:$B$50,MATCH($E454,Products!$A$2:$A$50,0)),"Unmapped"))</f>
        <v>Pantry</v>
      </c>
      <c r="I454" s="41" t="n">
        <f aca="false">IF($A454="","",IFERROR(INDEX(Products!$C$2:$C$50,MATCH($E454,Products!$A$2:$A$50,0)),0))</f>
        <v>5600</v>
      </c>
      <c r="J454" s="41" t="n">
        <f aca="false">IF($A454="","",IFERROR(INDEX(Products!$D$2:$D$50,MATCH($E454,Products!$A$2:$A$50,0)),0))</f>
        <v>4200</v>
      </c>
      <c r="K454" s="41" t="n">
        <f aca="false">IF($A454="","",$F454*$I454*(1-$G454))</f>
        <v>53200</v>
      </c>
      <c r="L454" s="41" t="n">
        <f aca="false">IF($A454="","",$F454*$J454)</f>
        <v>42000</v>
      </c>
      <c r="M454" s="41" t="n">
        <f aca="false">IF($A454="","",$K454-$L454)</f>
        <v>11200</v>
      </c>
    </row>
    <row r="455" customFormat="false" ht="15" hidden="false" customHeight="false" outlineLevel="0" collapsed="false">
      <c r="A455" s="37" t="s">
        <v>554</v>
      </c>
      <c r="B455" s="38" t="n">
        <v>46006</v>
      </c>
      <c r="C455" s="37" t="s">
        <v>82</v>
      </c>
      <c r="D455" s="37" t="s">
        <v>93</v>
      </c>
      <c r="E455" s="37" t="s">
        <v>103</v>
      </c>
      <c r="F455" s="39" t="n">
        <v>18</v>
      </c>
      <c r="G455" s="40" t="n">
        <v>0.05</v>
      </c>
      <c r="H455" s="8" t="str">
        <f aca="false">IF($A455="","",IFERROR(INDEX(Products!$B$2:$B$50,MATCH($E455,Products!$A$2:$A$50,0)),"Unmapped"))</f>
        <v>Electronics</v>
      </c>
      <c r="I455" s="41" t="n">
        <f aca="false">IF($A455="","",IFERROR(INDEX(Products!$C$2:$C$50,MATCH($E455,Products!$A$2:$A$50,0)),0))</f>
        <v>900</v>
      </c>
      <c r="J455" s="41" t="n">
        <f aca="false">IF($A455="","",IFERROR(INDEX(Products!$D$2:$D$50,MATCH($E455,Products!$A$2:$A$50,0)),0))</f>
        <v>620</v>
      </c>
      <c r="K455" s="41" t="n">
        <f aca="false">IF($A455="","",$F455*$I455*(1-$G455))</f>
        <v>15390</v>
      </c>
      <c r="L455" s="41" t="n">
        <f aca="false">IF($A455="","",$F455*$J455)</f>
        <v>11160</v>
      </c>
      <c r="M455" s="41" t="n">
        <f aca="false">IF($A455="","",$K455-$L455)</f>
        <v>4230</v>
      </c>
    </row>
    <row r="456" customFormat="false" ht="15" hidden="false" customHeight="false" outlineLevel="0" collapsed="false">
      <c r="A456" s="37" t="s">
        <v>555</v>
      </c>
      <c r="B456" s="38" t="n">
        <v>46008</v>
      </c>
      <c r="C456" s="37" t="s">
        <v>82</v>
      </c>
      <c r="D456" s="37" t="s">
        <v>83</v>
      </c>
      <c r="E456" s="37" t="s">
        <v>114</v>
      </c>
      <c r="F456" s="39" t="n">
        <v>12</v>
      </c>
      <c r="G456" s="40" t="n">
        <v>0.05</v>
      </c>
      <c r="H456" s="8" t="str">
        <f aca="false">IF($A456="","",IFERROR(INDEX(Products!$B$2:$B$50,MATCH($E456,Products!$A$2:$A$50,0)),"Unmapped"))</f>
        <v>Pantry</v>
      </c>
      <c r="I456" s="41" t="n">
        <f aca="false">IF($A456="","",IFERROR(INDEX(Products!$C$2:$C$50,MATCH($E456,Products!$A$2:$A$50,0)),0))</f>
        <v>1500</v>
      </c>
      <c r="J456" s="41" t="n">
        <f aca="false">IF($A456="","",IFERROR(INDEX(Products!$D$2:$D$50,MATCH($E456,Products!$A$2:$A$50,0)),0))</f>
        <v>1100</v>
      </c>
      <c r="K456" s="41" t="n">
        <f aca="false">IF($A456="","",$F456*$I456*(1-$G456))</f>
        <v>17100</v>
      </c>
      <c r="L456" s="41" t="n">
        <f aca="false">IF($A456="","",$F456*$J456)</f>
        <v>13200</v>
      </c>
      <c r="M456" s="41" t="n">
        <f aca="false">IF($A456="","",$K456-$L456)</f>
        <v>3900</v>
      </c>
    </row>
    <row r="457" customFormat="false" ht="15" hidden="false" customHeight="false" outlineLevel="0" collapsed="false">
      <c r="A457" s="37" t="s">
        <v>556</v>
      </c>
      <c r="B457" s="38" t="n">
        <v>46008</v>
      </c>
      <c r="C457" s="37" t="s">
        <v>78</v>
      </c>
      <c r="D457" s="37" t="s">
        <v>79</v>
      </c>
      <c r="E457" s="37" t="s">
        <v>90</v>
      </c>
      <c r="F457" s="39" t="n">
        <v>101</v>
      </c>
      <c r="G457" s="40" t="n">
        <v>0.05</v>
      </c>
      <c r="H457" s="8" t="str">
        <f aca="false">IF($A457="","",IFERROR(INDEX(Products!$B$2:$B$50,MATCH($E457,Products!$A$2:$A$50,0)),"Unmapped"))</f>
        <v>Stationery</v>
      </c>
      <c r="I457" s="41" t="n">
        <f aca="false">IF($A457="","",IFERROR(INDEX(Products!$C$2:$C$50,MATCH($E457,Products!$A$2:$A$50,0)),0))</f>
        <v>120</v>
      </c>
      <c r="J457" s="41" t="n">
        <f aca="false">IF($A457="","",IFERROR(INDEX(Products!$D$2:$D$50,MATCH($E457,Products!$A$2:$A$50,0)),0))</f>
        <v>80</v>
      </c>
      <c r="K457" s="41" t="n">
        <f aca="false">IF($A457="","",$F457*$I457*(1-$G457))</f>
        <v>11514</v>
      </c>
      <c r="L457" s="41" t="n">
        <f aca="false">IF($A457="","",$F457*$J457)</f>
        <v>8080</v>
      </c>
      <c r="M457" s="41" t="n">
        <f aca="false">IF($A457="","",$K457-$L457)</f>
        <v>3434</v>
      </c>
    </row>
    <row r="458" customFormat="false" ht="15" hidden="false" customHeight="false" outlineLevel="0" collapsed="false">
      <c r="A458" s="37" t="s">
        <v>557</v>
      </c>
      <c r="B458" s="38" t="n">
        <v>46009</v>
      </c>
      <c r="C458" s="37" t="s">
        <v>82</v>
      </c>
      <c r="D458" s="37" t="s">
        <v>93</v>
      </c>
      <c r="E458" s="37" t="s">
        <v>134</v>
      </c>
      <c r="F458" s="39" t="n">
        <v>3</v>
      </c>
      <c r="G458" s="40" t="n">
        <v>0</v>
      </c>
      <c r="H458" s="8" t="str">
        <f aca="false">IF($A458="","",IFERROR(INDEX(Products!$B$2:$B$50,MATCH($E458,Products!$A$2:$A$50,0)),"Unmapped"))</f>
        <v>Furniture</v>
      </c>
      <c r="I458" s="41" t="n">
        <f aca="false">IF($A458="","",IFERROR(INDEX(Products!$C$2:$C$50,MATCH($E458,Products!$A$2:$A$50,0)),0))</f>
        <v>6100</v>
      </c>
      <c r="J458" s="41" t="n">
        <f aca="false">IF($A458="","",IFERROR(INDEX(Products!$D$2:$D$50,MATCH($E458,Products!$A$2:$A$50,0)),0))</f>
        <v>4500</v>
      </c>
      <c r="K458" s="41" t="n">
        <f aca="false">IF($A458="","",$F458*$I458*(1-$G458))</f>
        <v>18300</v>
      </c>
      <c r="L458" s="41" t="n">
        <f aca="false">IF($A458="","",$F458*$J458)</f>
        <v>13500</v>
      </c>
      <c r="M458" s="41" t="n">
        <f aca="false">IF($A458="","",$K458-$L458)</f>
        <v>4800</v>
      </c>
    </row>
    <row r="459" customFormat="false" ht="15" hidden="false" customHeight="false" outlineLevel="0" collapsed="false">
      <c r="A459" s="37" t="s">
        <v>558</v>
      </c>
      <c r="B459" s="38" t="n">
        <v>46009</v>
      </c>
      <c r="C459" s="37" t="s">
        <v>105</v>
      </c>
      <c r="D459" s="37" t="s">
        <v>106</v>
      </c>
      <c r="E459" s="37" t="s">
        <v>107</v>
      </c>
      <c r="F459" s="39" t="n">
        <v>14</v>
      </c>
      <c r="G459" s="40" t="n">
        <v>0.1</v>
      </c>
      <c r="H459" s="8" t="str">
        <f aca="false">IF($A459="","",IFERROR(INDEX(Products!$B$2:$B$50,MATCH($E459,Products!$A$2:$A$50,0)),"Unmapped"))</f>
        <v>Furniture</v>
      </c>
      <c r="I459" s="41" t="n">
        <f aca="false">IF($A459="","",IFERROR(INDEX(Products!$C$2:$C$50,MATCH($E459,Products!$A$2:$A$50,0)),0))</f>
        <v>7200</v>
      </c>
      <c r="J459" s="41" t="n">
        <f aca="false">IF($A459="","",IFERROR(INDEX(Products!$D$2:$D$50,MATCH($E459,Products!$A$2:$A$50,0)),0))</f>
        <v>5400</v>
      </c>
      <c r="K459" s="41" t="n">
        <f aca="false">IF($A459="","",$F459*$I459*(1-$G459))</f>
        <v>90720</v>
      </c>
      <c r="L459" s="41" t="n">
        <f aca="false">IF($A459="","",$F459*$J459)</f>
        <v>75600</v>
      </c>
      <c r="M459" s="41" t="n">
        <f aca="false">IF($A459="","",$K459-$L459)</f>
        <v>15120</v>
      </c>
    </row>
    <row r="460" customFormat="false" ht="15" hidden="false" customHeight="false" outlineLevel="0" collapsed="false">
      <c r="A460" s="37" t="s">
        <v>559</v>
      </c>
      <c r="B460" s="38" t="n">
        <v>46010</v>
      </c>
      <c r="C460" s="37" t="s">
        <v>78</v>
      </c>
      <c r="D460" s="37" t="s">
        <v>79</v>
      </c>
      <c r="E460" s="37" t="s">
        <v>90</v>
      </c>
      <c r="F460" s="39" t="n">
        <v>56</v>
      </c>
      <c r="G460" s="40" t="n">
        <v>0.15</v>
      </c>
      <c r="H460" s="8" t="str">
        <f aca="false">IF($A460="","",IFERROR(INDEX(Products!$B$2:$B$50,MATCH($E460,Products!$A$2:$A$50,0)),"Unmapped"))</f>
        <v>Stationery</v>
      </c>
      <c r="I460" s="41" t="n">
        <f aca="false">IF($A460="","",IFERROR(INDEX(Products!$C$2:$C$50,MATCH($E460,Products!$A$2:$A$50,0)),0))</f>
        <v>120</v>
      </c>
      <c r="J460" s="41" t="n">
        <f aca="false">IF($A460="","",IFERROR(INDEX(Products!$D$2:$D$50,MATCH($E460,Products!$A$2:$A$50,0)),0))</f>
        <v>80</v>
      </c>
      <c r="K460" s="41" t="n">
        <f aca="false">IF($A460="","",$F460*$I460*(1-$G460))</f>
        <v>5712</v>
      </c>
      <c r="L460" s="41" t="n">
        <f aca="false">IF($A460="","",$F460*$J460)</f>
        <v>4480</v>
      </c>
      <c r="M460" s="41" t="n">
        <f aca="false">IF($A460="","",$K460-$L460)</f>
        <v>1232</v>
      </c>
    </row>
    <row r="461" customFormat="false" ht="15" hidden="false" customHeight="false" outlineLevel="0" collapsed="false">
      <c r="A461" s="37" t="s">
        <v>560</v>
      </c>
      <c r="B461" s="38" t="n">
        <v>46010</v>
      </c>
      <c r="C461" s="37" t="s">
        <v>88</v>
      </c>
      <c r="D461" s="37" t="s">
        <v>89</v>
      </c>
      <c r="E461" s="37" t="s">
        <v>90</v>
      </c>
      <c r="F461" s="39" t="n">
        <v>104</v>
      </c>
      <c r="G461" s="40" t="n">
        <v>0</v>
      </c>
      <c r="H461" s="8" t="str">
        <f aca="false">IF($A461="","",IFERROR(INDEX(Products!$B$2:$B$50,MATCH($E461,Products!$A$2:$A$50,0)),"Unmapped"))</f>
        <v>Stationery</v>
      </c>
      <c r="I461" s="41" t="n">
        <f aca="false">IF($A461="","",IFERROR(INDEX(Products!$C$2:$C$50,MATCH($E461,Products!$A$2:$A$50,0)),0))</f>
        <v>120</v>
      </c>
      <c r="J461" s="41" t="n">
        <f aca="false">IF($A461="","",IFERROR(INDEX(Products!$D$2:$D$50,MATCH($E461,Products!$A$2:$A$50,0)),0))</f>
        <v>80</v>
      </c>
      <c r="K461" s="41" t="n">
        <f aca="false">IF($A461="","",$F461*$I461*(1-$G461))</f>
        <v>12480</v>
      </c>
      <c r="L461" s="41" t="n">
        <f aca="false">IF($A461="","",$F461*$J461)</f>
        <v>8320</v>
      </c>
      <c r="M461" s="41" t="n">
        <f aca="false">IF($A461="","",$K461-$L461)</f>
        <v>4160</v>
      </c>
    </row>
    <row r="462" customFormat="false" ht="15" hidden="false" customHeight="false" outlineLevel="0" collapsed="false">
      <c r="A462" s="37" t="s">
        <v>561</v>
      </c>
      <c r="B462" s="38" t="n">
        <v>46011</v>
      </c>
      <c r="C462" s="37" t="s">
        <v>78</v>
      </c>
      <c r="D462" s="37" t="s">
        <v>86</v>
      </c>
      <c r="E462" s="37" t="s">
        <v>121</v>
      </c>
      <c r="F462" s="39" t="n">
        <v>11</v>
      </c>
      <c r="G462" s="40" t="n">
        <v>0.05</v>
      </c>
      <c r="H462" s="8" t="str">
        <f aca="false">IF($A462="","",IFERROR(INDEX(Products!$B$2:$B$50,MATCH($E462,Products!$A$2:$A$50,0)),"Unmapped"))</f>
        <v>Electronics</v>
      </c>
      <c r="I462" s="41" t="n">
        <f aca="false">IF($A462="","",IFERROR(INDEX(Products!$C$2:$C$50,MATCH($E462,Products!$A$2:$A$50,0)),0))</f>
        <v>650</v>
      </c>
      <c r="J462" s="41" t="n">
        <f aca="false">IF($A462="","",IFERROR(INDEX(Products!$D$2:$D$50,MATCH($E462,Products!$A$2:$A$50,0)),0))</f>
        <v>430</v>
      </c>
      <c r="K462" s="41" t="n">
        <f aca="false">IF($A462="","",$F462*$I462*(1-$G462))</f>
        <v>6792.5</v>
      </c>
      <c r="L462" s="41" t="n">
        <f aca="false">IF($A462="","",$F462*$J462)</f>
        <v>4730</v>
      </c>
      <c r="M462" s="41" t="n">
        <f aca="false">IF($A462="","",$K462-$L462)</f>
        <v>2062.5</v>
      </c>
    </row>
    <row r="463" customFormat="false" ht="15" hidden="false" customHeight="false" outlineLevel="0" collapsed="false">
      <c r="A463" s="37" t="s">
        <v>562</v>
      </c>
      <c r="B463" s="38" t="n">
        <v>46012</v>
      </c>
      <c r="C463" s="37" t="s">
        <v>88</v>
      </c>
      <c r="D463" s="37" t="s">
        <v>89</v>
      </c>
      <c r="E463" s="37" t="s">
        <v>94</v>
      </c>
      <c r="F463" s="39" t="n">
        <v>108</v>
      </c>
      <c r="G463" s="40" t="n">
        <v>0.15</v>
      </c>
      <c r="H463" s="8" t="str">
        <f aca="false">IF($A463="","",IFERROR(INDEX(Products!$B$2:$B$50,MATCH($E463,Products!$A$2:$A$50,0)),"Unmapped"))</f>
        <v>Stationery</v>
      </c>
      <c r="I463" s="41" t="n">
        <f aca="false">IF($A463="","",IFERROR(INDEX(Products!$C$2:$C$50,MATCH($E463,Products!$A$2:$A$50,0)),0))</f>
        <v>280</v>
      </c>
      <c r="J463" s="41" t="n">
        <f aca="false">IF($A463="","",IFERROR(INDEX(Products!$D$2:$D$50,MATCH($E463,Products!$A$2:$A$50,0)),0))</f>
        <v>210</v>
      </c>
      <c r="K463" s="41" t="n">
        <f aca="false">IF($A463="","",$F463*$I463*(1-$G463))</f>
        <v>25704</v>
      </c>
      <c r="L463" s="41" t="n">
        <f aca="false">IF($A463="","",$F463*$J463)</f>
        <v>22680</v>
      </c>
      <c r="M463" s="41" t="n">
        <f aca="false">IF($A463="","",$K463-$L463)</f>
        <v>3024</v>
      </c>
    </row>
    <row r="464" customFormat="false" ht="15" hidden="false" customHeight="false" outlineLevel="0" collapsed="false">
      <c r="A464" s="37" t="s">
        <v>563</v>
      </c>
      <c r="B464" s="38" t="n">
        <v>46013</v>
      </c>
      <c r="C464" s="37" t="s">
        <v>88</v>
      </c>
      <c r="D464" s="37" t="s">
        <v>111</v>
      </c>
      <c r="E464" s="37" t="s">
        <v>121</v>
      </c>
      <c r="F464" s="39" t="n">
        <v>11</v>
      </c>
      <c r="G464" s="40" t="n">
        <v>0.05</v>
      </c>
      <c r="H464" s="8" t="str">
        <f aca="false">IF($A464="","",IFERROR(INDEX(Products!$B$2:$B$50,MATCH($E464,Products!$A$2:$A$50,0)),"Unmapped"))</f>
        <v>Electronics</v>
      </c>
      <c r="I464" s="41" t="n">
        <f aca="false">IF($A464="","",IFERROR(INDEX(Products!$C$2:$C$50,MATCH($E464,Products!$A$2:$A$50,0)),0))</f>
        <v>650</v>
      </c>
      <c r="J464" s="41" t="n">
        <f aca="false">IF($A464="","",IFERROR(INDEX(Products!$D$2:$D$50,MATCH($E464,Products!$A$2:$A$50,0)),0))</f>
        <v>430</v>
      </c>
      <c r="K464" s="41" t="n">
        <f aca="false">IF($A464="","",$F464*$I464*(1-$G464))</f>
        <v>6792.5</v>
      </c>
      <c r="L464" s="41" t="n">
        <f aca="false">IF($A464="","",$F464*$J464)</f>
        <v>4730</v>
      </c>
      <c r="M464" s="41" t="n">
        <f aca="false">IF($A464="","",$K464-$L464)</f>
        <v>2062.5</v>
      </c>
    </row>
    <row r="465" customFormat="false" ht="15" hidden="false" customHeight="false" outlineLevel="0" collapsed="false">
      <c r="A465" s="37" t="s">
        <v>564</v>
      </c>
      <c r="B465" s="38" t="n">
        <v>46013</v>
      </c>
      <c r="C465" s="37" t="s">
        <v>78</v>
      </c>
      <c r="D465" s="37" t="s">
        <v>86</v>
      </c>
      <c r="E465" s="37" t="s">
        <v>84</v>
      </c>
      <c r="F465" s="39" t="n">
        <v>181</v>
      </c>
      <c r="G465" s="40" t="n">
        <v>0</v>
      </c>
      <c r="H465" s="8" t="str">
        <f aca="false">IF($A465="","",IFERROR(INDEX(Products!$B$2:$B$50,MATCH($E465,Products!$A$2:$A$50,0)),"Unmapped"))</f>
        <v>Stationery</v>
      </c>
      <c r="I465" s="41" t="n">
        <f aca="false">IF($A465="","",IFERROR(INDEX(Products!$C$2:$C$50,MATCH($E465,Products!$A$2:$A$50,0)),0))</f>
        <v>350</v>
      </c>
      <c r="J465" s="41" t="n">
        <f aca="false">IF($A465="","",IFERROR(INDEX(Products!$D$2:$D$50,MATCH($E465,Products!$A$2:$A$50,0)),0))</f>
        <v>240</v>
      </c>
      <c r="K465" s="41" t="n">
        <f aca="false">IF($A465="","",$F465*$I465*(1-$G465))</f>
        <v>63350</v>
      </c>
      <c r="L465" s="41" t="n">
        <f aca="false">IF($A465="","",$F465*$J465)</f>
        <v>43440</v>
      </c>
      <c r="M465" s="41" t="n">
        <f aca="false">IF($A465="","",$K465-$L465)</f>
        <v>19910</v>
      </c>
    </row>
    <row r="466" customFormat="false" ht="15" hidden="false" customHeight="false" outlineLevel="0" collapsed="false">
      <c r="A466" s="37" t="s">
        <v>565</v>
      </c>
      <c r="B466" s="38" t="n">
        <v>46013</v>
      </c>
      <c r="C466" s="37" t="s">
        <v>105</v>
      </c>
      <c r="D466" s="37" t="s">
        <v>106</v>
      </c>
      <c r="E466" s="37" t="s">
        <v>90</v>
      </c>
      <c r="F466" s="39" t="n">
        <v>100</v>
      </c>
      <c r="G466" s="40" t="n">
        <v>0</v>
      </c>
      <c r="H466" s="8" t="str">
        <f aca="false">IF($A466="","",IFERROR(INDEX(Products!$B$2:$B$50,MATCH($E466,Products!$A$2:$A$50,0)),"Unmapped"))</f>
        <v>Stationery</v>
      </c>
      <c r="I466" s="41" t="n">
        <f aca="false">IF($A466="","",IFERROR(INDEX(Products!$C$2:$C$50,MATCH($E466,Products!$A$2:$A$50,0)),0))</f>
        <v>120</v>
      </c>
      <c r="J466" s="41" t="n">
        <f aca="false">IF($A466="","",IFERROR(INDEX(Products!$D$2:$D$50,MATCH($E466,Products!$A$2:$A$50,0)),0))</f>
        <v>80</v>
      </c>
      <c r="K466" s="41" t="n">
        <f aca="false">IF($A466="","",$F466*$I466*(1-$G466))</f>
        <v>12000</v>
      </c>
      <c r="L466" s="41" t="n">
        <f aca="false">IF($A466="","",$F466*$J466)</f>
        <v>8000</v>
      </c>
      <c r="M466" s="41" t="n">
        <f aca="false">IF($A466="","",$K466-$L466)</f>
        <v>4000</v>
      </c>
    </row>
    <row r="467" customFormat="false" ht="15" hidden="false" customHeight="false" outlineLevel="0" collapsed="false">
      <c r="A467" s="37" t="s">
        <v>566</v>
      </c>
      <c r="B467" s="38" t="n">
        <v>46015</v>
      </c>
      <c r="C467" s="37" t="s">
        <v>78</v>
      </c>
      <c r="D467" s="37" t="s">
        <v>86</v>
      </c>
      <c r="E467" s="37" t="s">
        <v>157</v>
      </c>
      <c r="F467" s="39" t="n">
        <v>27</v>
      </c>
      <c r="G467" s="40" t="n">
        <v>0.1</v>
      </c>
      <c r="H467" s="8" t="str">
        <f aca="false">IF($A467="","",IFERROR(INDEX(Products!$B$2:$B$50,MATCH($E467,Products!$A$2:$A$50,0)),"Unmapped"))</f>
        <v>Electronics</v>
      </c>
      <c r="I467" s="41" t="n">
        <f aca="false">IF($A467="","",IFERROR(INDEX(Products!$C$2:$C$50,MATCH($E467,Products!$A$2:$A$50,0)),0))</f>
        <v>8900</v>
      </c>
      <c r="J467" s="41" t="n">
        <f aca="false">IF($A467="","",IFERROR(INDEX(Products!$D$2:$D$50,MATCH($E467,Products!$A$2:$A$50,0)),0))</f>
        <v>7000</v>
      </c>
      <c r="K467" s="41" t="n">
        <f aca="false">IF($A467="","",$F467*$I467*(1-$G467))</f>
        <v>216270</v>
      </c>
      <c r="L467" s="41" t="n">
        <f aca="false">IF($A467="","",$F467*$J467)</f>
        <v>189000</v>
      </c>
      <c r="M467" s="41" t="n">
        <f aca="false">IF($A467="","",$K467-$L467)</f>
        <v>27270</v>
      </c>
    </row>
    <row r="468" customFormat="false" ht="15" hidden="false" customHeight="false" outlineLevel="0" collapsed="false">
      <c r="A468" s="37" t="s">
        <v>567</v>
      </c>
      <c r="B468" s="38" t="n">
        <v>46015</v>
      </c>
      <c r="C468" s="37" t="s">
        <v>88</v>
      </c>
      <c r="D468" s="37" t="s">
        <v>111</v>
      </c>
      <c r="E468" s="37" t="s">
        <v>84</v>
      </c>
      <c r="F468" s="39" t="n">
        <v>126</v>
      </c>
      <c r="G468" s="40" t="n">
        <v>0.15</v>
      </c>
      <c r="H468" s="8" t="str">
        <f aca="false">IF($A468="","",IFERROR(INDEX(Products!$B$2:$B$50,MATCH($E468,Products!$A$2:$A$50,0)),"Unmapped"))</f>
        <v>Stationery</v>
      </c>
      <c r="I468" s="41" t="n">
        <f aca="false">IF($A468="","",IFERROR(INDEX(Products!$C$2:$C$50,MATCH($E468,Products!$A$2:$A$50,0)),0))</f>
        <v>350</v>
      </c>
      <c r="J468" s="41" t="n">
        <f aca="false">IF($A468="","",IFERROR(INDEX(Products!$D$2:$D$50,MATCH($E468,Products!$A$2:$A$50,0)),0))</f>
        <v>240</v>
      </c>
      <c r="K468" s="41" t="n">
        <f aca="false">IF($A468="","",$F468*$I468*(1-$G468))</f>
        <v>37485</v>
      </c>
      <c r="L468" s="41" t="n">
        <f aca="false">IF($A468="","",$F468*$J468)</f>
        <v>30240</v>
      </c>
      <c r="M468" s="41" t="n">
        <f aca="false">IF($A468="","",$K468-$L468)</f>
        <v>7245</v>
      </c>
    </row>
    <row r="469" customFormat="false" ht="15" hidden="false" customHeight="false" outlineLevel="0" collapsed="false">
      <c r="A469" s="37" t="s">
        <v>568</v>
      </c>
      <c r="B469" s="38" t="n">
        <v>46016</v>
      </c>
      <c r="C469" s="37" t="s">
        <v>88</v>
      </c>
      <c r="D469" s="37" t="s">
        <v>89</v>
      </c>
      <c r="E469" s="37" t="s">
        <v>90</v>
      </c>
      <c r="F469" s="39" t="n">
        <v>68</v>
      </c>
      <c r="G469" s="40" t="n">
        <v>0.05</v>
      </c>
      <c r="H469" s="8" t="str">
        <f aca="false">IF($A469="","",IFERROR(INDEX(Products!$B$2:$B$50,MATCH($E469,Products!$A$2:$A$50,0)),"Unmapped"))</f>
        <v>Stationery</v>
      </c>
      <c r="I469" s="41" t="n">
        <f aca="false">IF($A469="","",IFERROR(INDEX(Products!$C$2:$C$50,MATCH($E469,Products!$A$2:$A$50,0)),0))</f>
        <v>120</v>
      </c>
      <c r="J469" s="41" t="n">
        <f aca="false">IF($A469="","",IFERROR(INDEX(Products!$D$2:$D$50,MATCH($E469,Products!$A$2:$A$50,0)),0))</f>
        <v>80</v>
      </c>
      <c r="K469" s="41" t="n">
        <f aca="false">IF($A469="","",$F469*$I469*(1-$G469))</f>
        <v>7752</v>
      </c>
      <c r="L469" s="41" t="n">
        <f aca="false">IF($A469="","",$F469*$J469)</f>
        <v>5440</v>
      </c>
      <c r="M469" s="41" t="n">
        <f aca="false">IF($A469="","",$K469-$L469)</f>
        <v>2312</v>
      </c>
    </row>
    <row r="470" customFormat="false" ht="15" hidden="false" customHeight="false" outlineLevel="0" collapsed="false">
      <c r="A470" s="37" t="s">
        <v>569</v>
      </c>
      <c r="B470" s="38" t="n">
        <v>46016</v>
      </c>
      <c r="C470" s="37" t="s">
        <v>78</v>
      </c>
      <c r="D470" s="37" t="s">
        <v>86</v>
      </c>
      <c r="E470" s="37" t="s">
        <v>94</v>
      </c>
      <c r="F470" s="39" t="n">
        <v>124</v>
      </c>
      <c r="G470" s="40" t="n">
        <v>0</v>
      </c>
      <c r="H470" s="8" t="str">
        <f aca="false">IF($A470="","",IFERROR(INDEX(Products!$B$2:$B$50,MATCH($E470,Products!$A$2:$A$50,0)),"Unmapped"))</f>
        <v>Stationery</v>
      </c>
      <c r="I470" s="41" t="n">
        <f aca="false">IF($A470="","",IFERROR(INDEX(Products!$C$2:$C$50,MATCH($E470,Products!$A$2:$A$50,0)),0))</f>
        <v>280</v>
      </c>
      <c r="J470" s="41" t="n">
        <f aca="false">IF($A470="","",IFERROR(INDEX(Products!$D$2:$D$50,MATCH($E470,Products!$A$2:$A$50,0)),0))</f>
        <v>210</v>
      </c>
      <c r="K470" s="41" t="n">
        <f aca="false">IF($A470="","",$F470*$I470*(1-$G470))</f>
        <v>34720</v>
      </c>
      <c r="L470" s="41" t="n">
        <f aca="false">IF($A470="","",$F470*$J470)</f>
        <v>26040</v>
      </c>
      <c r="M470" s="41" t="n">
        <f aca="false">IF($A470="","",$K470-$L470)</f>
        <v>8680</v>
      </c>
    </row>
    <row r="471" customFormat="false" ht="15" hidden="false" customHeight="false" outlineLevel="0" collapsed="false">
      <c r="A471" s="37" t="s">
        <v>570</v>
      </c>
      <c r="B471" s="38" t="n">
        <v>46017</v>
      </c>
      <c r="C471" s="37" t="s">
        <v>88</v>
      </c>
      <c r="D471" s="37" t="s">
        <v>89</v>
      </c>
      <c r="E471" s="37" t="s">
        <v>121</v>
      </c>
      <c r="F471" s="39" t="n">
        <v>24</v>
      </c>
      <c r="G471" s="40" t="n">
        <v>0</v>
      </c>
      <c r="H471" s="8" t="str">
        <f aca="false">IF($A471="","",IFERROR(INDEX(Products!$B$2:$B$50,MATCH($E471,Products!$A$2:$A$50,0)),"Unmapped"))</f>
        <v>Electronics</v>
      </c>
      <c r="I471" s="41" t="n">
        <f aca="false">IF($A471="","",IFERROR(INDEX(Products!$C$2:$C$50,MATCH($E471,Products!$A$2:$A$50,0)),0))</f>
        <v>650</v>
      </c>
      <c r="J471" s="41" t="n">
        <f aca="false">IF($A471="","",IFERROR(INDEX(Products!$D$2:$D$50,MATCH($E471,Products!$A$2:$A$50,0)),0))</f>
        <v>430</v>
      </c>
      <c r="K471" s="41" t="n">
        <f aca="false">IF($A471="","",$F471*$I471*(1-$G471))</f>
        <v>15600</v>
      </c>
      <c r="L471" s="41" t="n">
        <f aca="false">IF($A471="","",$F471*$J471)</f>
        <v>10320</v>
      </c>
      <c r="M471" s="41" t="n">
        <f aca="false">IF($A471="","",$K471-$L471)</f>
        <v>5280</v>
      </c>
    </row>
    <row r="472" customFormat="false" ht="15" hidden="false" customHeight="false" outlineLevel="0" collapsed="false">
      <c r="A472" s="37" t="s">
        <v>571</v>
      </c>
      <c r="B472" s="38" t="n">
        <v>46017</v>
      </c>
      <c r="C472" s="37" t="s">
        <v>78</v>
      </c>
      <c r="D472" s="37" t="s">
        <v>79</v>
      </c>
      <c r="E472" s="37" t="s">
        <v>90</v>
      </c>
      <c r="F472" s="39" t="n">
        <v>120</v>
      </c>
      <c r="G472" s="40" t="n">
        <v>0</v>
      </c>
      <c r="H472" s="8" t="str">
        <f aca="false">IF($A472="","",IFERROR(INDEX(Products!$B$2:$B$50,MATCH($E472,Products!$A$2:$A$50,0)),"Unmapped"))</f>
        <v>Stationery</v>
      </c>
      <c r="I472" s="41" t="n">
        <f aca="false">IF($A472="","",IFERROR(INDEX(Products!$C$2:$C$50,MATCH($E472,Products!$A$2:$A$50,0)),0))</f>
        <v>120</v>
      </c>
      <c r="J472" s="41" t="n">
        <f aca="false">IF($A472="","",IFERROR(INDEX(Products!$D$2:$D$50,MATCH($E472,Products!$A$2:$A$50,0)),0))</f>
        <v>80</v>
      </c>
      <c r="K472" s="41" t="n">
        <f aca="false">IF($A472="","",$F472*$I472*(1-$G472))</f>
        <v>14400</v>
      </c>
      <c r="L472" s="41" t="n">
        <f aca="false">IF($A472="","",$F472*$J472)</f>
        <v>9600</v>
      </c>
      <c r="M472" s="41" t="n">
        <f aca="false">IF($A472="","",$K472-$L472)</f>
        <v>4800</v>
      </c>
    </row>
    <row r="473" customFormat="false" ht="15" hidden="false" customHeight="false" outlineLevel="0" collapsed="false">
      <c r="A473" s="37" t="s">
        <v>572</v>
      </c>
      <c r="B473" s="38" t="n">
        <v>46018</v>
      </c>
      <c r="C473" s="37" t="s">
        <v>78</v>
      </c>
      <c r="D473" s="37" t="s">
        <v>86</v>
      </c>
      <c r="E473" s="37" t="s">
        <v>157</v>
      </c>
      <c r="F473" s="39" t="n">
        <v>3</v>
      </c>
      <c r="G473" s="40" t="n">
        <v>0.05</v>
      </c>
      <c r="H473" s="8" t="str">
        <f aca="false">IF($A473="","",IFERROR(INDEX(Products!$B$2:$B$50,MATCH($E473,Products!$A$2:$A$50,0)),"Unmapped"))</f>
        <v>Electronics</v>
      </c>
      <c r="I473" s="41" t="n">
        <f aca="false">IF($A473="","",IFERROR(INDEX(Products!$C$2:$C$50,MATCH($E473,Products!$A$2:$A$50,0)),0))</f>
        <v>8900</v>
      </c>
      <c r="J473" s="41" t="n">
        <f aca="false">IF($A473="","",IFERROR(INDEX(Products!$D$2:$D$50,MATCH($E473,Products!$A$2:$A$50,0)),0))</f>
        <v>7000</v>
      </c>
      <c r="K473" s="41" t="n">
        <f aca="false">IF($A473="","",$F473*$I473*(1-$G473))</f>
        <v>25365</v>
      </c>
      <c r="L473" s="41" t="n">
        <f aca="false">IF($A473="","",$F473*$J473)</f>
        <v>21000</v>
      </c>
      <c r="M473" s="41" t="n">
        <f aca="false">IF($A473="","",$K473-$L473)</f>
        <v>4365</v>
      </c>
    </row>
    <row r="474" customFormat="false" ht="15" hidden="false" customHeight="false" outlineLevel="0" collapsed="false">
      <c r="A474" s="37" t="s">
        <v>573</v>
      </c>
      <c r="B474" s="38" t="n">
        <v>46019</v>
      </c>
      <c r="C474" s="37" t="s">
        <v>88</v>
      </c>
      <c r="D474" s="37" t="s">
        <v>89</v>
      </c>
      <c r="E474" s="37" t="s">
        <v>114</v>
      </c>
      <c r="F474" s="39" t="n">
        <v>40</v>
      </c>
      <c r="G474" s="40" t="n">
        <v>0</v>
      </c>
      <c r="H474" s="8" t="str">
        <f aca="false">IF($A474="","",IFERROR(INDEX(Products!$B$2:$B$50,MATCH($E474,Products!$A$2:$A$50,0)),"Unmapped"))</f>
        <v>Pantry</v>
      </c>
      <c r="I474" s="41" t="n">
        <f aca="false">IF($A474="","",IFERROR(INDEX(Products!$C$2:$C$50,MATCH($E474,Products!$A$2:$A$50,0)),0))</f>
        <v>1500</v>
      </c>
      <c r="J474" s="41" t="n">
        <f aca="false">IF($A474="","",IFERROR(INDEX(Products!$D$2:$D$50,MATCH($E474,Products!$A$2:$A$50,0)),0))</f>
        <v>1100</v>
      </c>
      <c r="K474" s="41" t="n">
        <f aca="false">IF($A474="","",$F474*$I474*(1-$G474))</f>
        <v>60000</v>
      </c>
      <c r="L474" s="41" t="n">
        <f aca="false">IF($A474="","",$F474*$J474)</f>
        <v>44000</v>
      </c>
      <c r="M474" s="41" t="n">
        <f aca="false">IF($A474="","",$K474-$L474)</f>
        <v>16000</v>
      </c>
    </row>
    <row r="475" customFormat="false" ht="15" hidden="false" customHeight="false" outlineLevel="0" collapsed="false">
      <c r="A475" s="37" t="s">
        <v>574</v>
      </c>
      <c r="B475" s="38" t="n">
        <v>46019</v>
      </c>
      <c r="C475" s="37" t="s">
        <v>88</v>
      </c>
      <c r="D475" s="37" t="s">
        <v>111</v>
      </c>
      <c r="E475" s="37" t="s">
        <v>90</v>
      </c>
      <c r="F475" s="39" t="n">
        <v>102</v>
      </c>
      <c r="G475" s="40" t="n">
        <v>0.1</v>
      </c>
      <c r="H475" s="8" t="str">
        <f aca="false">IF($A475="","",IFERROR(INDEX(Products!$B$2:$B$50,MATCH($E475,Products!$A$2:$A$50,0)),"Unmapped"))</f>
        <v>Stationery</v>
      </c>
      <c r="I475" s="41" t="n">
        <f aca="false">IF($A475="","",IFERROR(INDEX(Products!$C$2:$C$50,MATCH($E475,Products!$A$2:$A$50,0)),0))</f>
        <v>120</v>
      </c>
      <c r="J475" s="41" t="n">
        <f aca="false">IF($A475="","",IFERROR(INDEX(Products!$D$2:$D$50,MATCH($E475,Products!$A$2:$A$50,0)),0))</f>
        <v>80</v>
      </c>
      <c r="K475" s="41" t="n">
        <f aca="false">IF($A475="","",$F475*$I475*(1-$G475))</f>
        <v>11016</v>
      </c>
      <c r="L475" s="41" t="n">
        <f aca="false">IF($A475="","",$F475*$J475)</f>
        <v>8160</v>
      </c>
      <c r="M475" s="41" t="n">
        <f aca="false">IF($A475="","",$K475-$L475)</f>
        <v>2856</v>
      </c>
    </row>
    <row r="476" customFormat="false" ht="15" hidden="false" customHeight="false" outlineLevel="0" collapsed="false">
      <c r="A476" s="37" t="s">
        <v>575</v>
      </c>
      <c r="B476" s="38" t="n">
        <v>46019</v>
      </c>
      <c r="C476" s="37" t="s">
        <v>78</v>
      </c>
      <c r="D476" s="37" t="s">
        <v>86</v>
      </c>
      <c r="E476" s="37" t="s">
        <v>134</v>
      </c>
      <c r="F476" s="39" t="n">
        <v>13</v>
      </c>
      <c r="G476" s="40" t="n">
        <v>0.1</v>
      </c>
      <c r="H476" s="8" t="str">
        <f aca="false">IF($A476="","",IFERROR(INDEX(Products!$B$2:$B$50,MATCH($E476,Products!$A$2:$A$50,0)),"Unmapped"))</f>
        <v>Furniture</v>
      </c>
      <c r="I476" s="41" t="n">
        <f aca="false">IF($A476="","",IFERROR(INDEX(Products!$C$2:$C$50,MATCH($E476,Products!$A$2:$A$50,0)),0))</f>
        <v>6100</v>
      </c>
      <c r="J476" s="41" t="n">
        <f aca="false">IF($A476="","",IFERROR(INDEX(Products!$D$2:$D$50,MATCH($E476,Products!$A$2:$A$50,0)),0))</f>
        <v>4500</v>
      </c>
      <c r="K476" s="41" t="n">
        <f aca="false">IF($A476="","",$F476*$I476*(1-$G476))</f>
        <v>71370</v>
      </c>
      <c r="L476" s="41" t="n">
        <f aca="false">IF($A476="","",$F476*$J476)</f>
        <v>58500</v>
      </c>
      <c r="M476" s="41" t="n">
        <f aca="false">IF($A476="","",$K476-$L476)</f>
        <v>12870</v>
      </c>
    </row>
    <row r="477" customFormat="false" ht="15" hidden="false" customHeight="false" outlineLevel="0" collapsed="false">
      <c r="A477" s="37" t="s">
        <v>576</v>
      </c>
      <c r="B477" s="38" t="n">
        <v>46020</v>
      </c>
      <c r="C477" s="37" t="s">
        <v>88</v>
      </c>
      <c r="D477" s="37" t="s">
        <v>111</v>
      </c>
      <c r="E477" s="37" t="s">
        <v>121</v>
      </c>
      <c r="F477" s="39" t="n">
        <v>14</v>
      </c>
      <c r="G477" s="40" t="n">
        <v>0.1</v>
      </c>
      <c r="H477" s="8" t="str">
        <f aca="false">IF($A477="","",IFERROR(INDEX(Products!$B$2:$B$50,MATCH($E477,Products!$A$2:$A$50,0)),"Unmapped"))</f>
        <v>Electronics</v>
      </c>
      <c r="I477" s="41" t="n">
        <f aca="false">IF($A477="","",IFERROR(INDEX(Products!$C$2:$C$50,MATCH($E477,Products!$A$2:$A$50,0)),0))</f>
        <v>650</v>
      </c>
      <c r="J477" s="41" t="n">
        <f aca="false">IF($A477="","",IFERROR(INDEX(Products!$D$2:$D$50,MATCH($E477,Products!$A$2:$A$50,0)),0))</f>
        <v>430</v>
      </c>
      <c r="K477" s="41" t="n">
        <f aca="false">IF($A477="","",$F477*$I477*(1-$G477))</f>
        <v>8190</v>
      </c>
      <c r="L477" s="41" t="n">
        <f aca="false">IF($A477="","",$F477*$J477)</f>
        <v>6020</v>
      </c>
      <c r="M477" s="41" t="n">
        <f aca="false">IF($A477="","",$K477-$L477)</f>
        <v>2170</v>
      </c>
    </row>
    <row r="478" customFormat="false" ht="15" hidden="false" customHeight="false" outlineLevel="0" collapsed="false">
      <c r="A478" s="37" t="s">
        <v>577</v>
      </c>
      <c r="B478" s="38" t="n">
        <v>46021</v>
      </c>
      <c r="C478" s="37" t="s">
        <v>78</v>
      </c>
      <c r="D478" s="37" t="s">
        <v>86</v>
      </c>
      <c r="E478" s="37" t="s">
        <v>94</v>
      </c>
      <c r="F478" s="39" t="n">
        <v>165</v>
      </c>
      <c r="G478" s="40" t="n">
        <v>0.05</v>
      </c>
      <c r="H478" s="8" t="str">
        <f aca="false">IF($A478="","",IFERROR(INDEX(Products!$B$2:$B$50,MATCH($E478,Products!$A$2:$A$50,0)),"Unmapped"))</f>
        <v>Stationery</v>
      </c>
      <c r="I478" s="41" t="n">
        <f aca="false">IF($A478="","",IFERROR(INDEX(Products!$C$2:$C$50,MATCH($E478,Products!$A$2:$A$50,0)),0))</f>
        <v>280</v>
      </c>
      <c r="J478" s="41" t="n">
        <f aca="false">IF($A478="","",IFERROR(INDEX(Products!$D$2:$D$50,MATCH($E478,Products!$A$2:$A$50,0)),0))</f>
        <v>210</v>
      </c>
      <c r="K478" s="41" t="n">
        <f aca="false">IF($A478="","",$F478*$I478*(1-$G478))</f>
        <v>43890</v>
      </c>
      <c r="L478" s="41" t="n">
        <f aca="false">IF($A478="","",$F478*$J478)</f>
        <v>34650</v>
      </c>
      <c r="M478" s="41" t="n">
        <f aca="false">IF($A478="","",$K478-$L478)</f>
        <v>9240</v>
      </c>
    </row>
    <row r="479" customFormat="false" ht="15" hidden="false" customHeight="false" outlineLevel="0" collapsed="false">
      <c r="A479" s="37" t="s">
        <v>578</v>
      </c>
      <c r="B479" s="38" t="n">
        <v>46021</v>
      </c>
      <c r="C479" s="37" t="s">
        <v>82</v>
      </c>
      <c r="D479" s="37" t="s">
        <v>93</v>
      </c>
      <c r="E479" s="37" t="s">
        <v>94</v>
      </c>
      <c r="F479" s="39" t="n">
        <v>156</v>
      </c>
      <c r="G479" s="40" t="n">
        <v>0.05</v>
      </c>
      <c r="H479" s="8" t="str">
        <f aca="false">IF($A479="","",IFERROR(INDEX(Products!$B$2:$B$50,MATCH($E479,Products!$A$2:$A$50,0)),"Unmapped"))</f>
        <v>Stationery</v>
      </c>
      <c r="I479" s="41" t="n">
        <f aca="false">IF($A479="","",IFERROR(INDEX(Products!$C$2:$C$50,MATCH($E479,Products!$A$2:$A$50,0)),0))</f>
        <v>280</v>
      </c>
      <c r="J479" s="41" t="n">
        <f aca="false">IF($A479="","",IFERROR(INDEX(Products!$D$2:$D$50,MATCH($E479,Products!$A$2:$A$50,0)),0))</f>
        <v>210</v>
      </c>
      <c r="K479" s="41" t="n">
        <f aca="false">IF($A479="","",$F479*$I479*(1-$G479))</f>
        <v>41496</v>
      </c>
      <c r="L479" s="41" t="n">
        <f aca="false">IF($A479="","",$F479*$J479)</f>
        <v>32760</v>
      </c>
      <c r="M479" s="41" t="n">
        <f aca="false">IF($A479="","",$K479-$L479)</f>
        <v>8736</v>
      </c>
    </row>
    <row r="480" customFormat="false" ht="15" hidden="false" customHeight="false" outlineLevel="0" collapsed="false">
      <c r="A480" s="37" t="s">
        <v>579</v>
      </c>
      <c r="B480" s="38" t="n">
        <v>46021</v>
      </c>
      <c r="C480" s="37" t="s">
        <v>78</v>
      </c>
      <c r="D480" s="37" t="s">
        <v>86</v>
      </c>
      <c r="E480" s="37" t="s">
        <v>114</v>
      </c>
      <c r="F480" s="39" t="n">
        <v>35</v>
      </c>
      <c r="G480" s="40" t="n">
        <v>0</v>
      </c>
      <c r="H480" s="8" t="str">
        <f aca="false">IF($A480="","",IFERROR(INDEX(Products!$B$2:$B$50,MATCH($E480,Products!$A$2:$A$50,0)),"Unmapped"))</f>
        <v>Pantry</v>
      </c>
      <c r="I480" s="41" t="n">
        <f aca="false">IF($A480="","",IFERROR(INDEX(Products!$C$2:$C$50,MATCH($E480,Products!$A$2:$A$50,0)),0))</f>
        <v>1500</v>
      </c>
      <c r="J480" s="41" t="n">
        <f aca="false">IF($A480="","",IFERROR(INDEX(Products!$D$2:$D$50,MATCH($E480,Products!$A$2:$A$50,0)),0))</f>
        <v>1100</v>
      </c>
      <c r="K480" s="41" t="n">
        <f aca="false">IF($A480="","",$F480*$I480*(1-$G480))</f>
        <v>52500</v>
      </c>
      <c r="L480" s="41" t="n">
        <f aca="false">IF($A480="","",$F480*$J480)</f>
        <v>38500</v>
      </c>
      <c r="M480" s="41" t="n">
        <f aca="false">IF($A480="","",$K480-$L480)</f>
        <v>14000</v>
      </c>
    </row>
    <row r="481" customFormat="false" ht="15" hidden="false" customHeight="false" outlineLevel="0" collapsed="false">
      <c r="A481" s="37" t="s">
        <v>580</v>
      </c>
      <c r="B481" s="38" t="n">
        <v>46021</v>
      </c>
      <c r="C481" s="37" t="s">
        <v>105</v>
      </c>
      <c r="D481" s="37" t="s">
        <v>106</v>
      </c>
      <c r="E481" s="37" t="s">
        <v>107</v>
      </c>
      <c r="F481" s="39" t="n">
        <v>3</v>
      </c>
      <c r="G481" s="40" t="n">
        <v>0</v>
      </c>
      <c r="H481" s="8" t="str">
        <f aca="false">IF($A481="","",IFERROR(INDEX(Products!$B$2:$B$50,MATCH($E481,Products!$A$2:$A$50,0)),"Unmapped"))</f>
        <v>Furniture</v>
      </c>
      <c r="I481" s="41" t="n">
        <f aca="false">IF($A481="","",IFERROR(INDEX(Products!$C$2:$C$50,MATCH($E481,Products!$A$2:$A$50,0)),0))</f>
        <v>7200</v>
      </c>
      <c r="J481" s="41" t="n">
        <f aca="false">IF($A481="","",IFERROR(INDEX(Products!$D$2:$D$50,MATCH($E481,Products!$A$2:$A$50,0)),0))</f>
        <v>5400</v>
      </c>
      <c r="K481" s="41" t="n">
        <f aca="false">IF($A481="","",$F481*$I481*(1-$G481))</f>
        <v>21600</v>
      </c>
      <c r="L481" s="41" t="n">
        <f aca="false">IF($A481="","",$F481*$J481)</f>
        <v>16200</v>
      </c>
      <c r="M481" s="41" t="n">
        <f aca="false">IF($A481="","",$K481-$L481)</f>
        <v>5400</v>
      </c>
    </row>
    <row r="482" customFormat="false" ht="15" hidden="false" customHeight="false" outlineLevel="0" collapsed="false">
      <c r="H482" s="8" t="str">
        <f aca="false">IF($A482="","",IFERROR(INDEX(Products!$B$2:$B$50,MATCH($E482,Products!$A$2:$A$50,0)),"Unmapped"))</f>
        <v/>
      </c>
      <c r="I482" s="41" t="str">
        <f aca="false">IF($A482="","",IFERROR(INDEX(Products!$C$2:$C$50,MATCH($E482,Products!$A$2:$A$50,0)),0))</f>
        <v/>
      </c>
      <c r="J482" s="41" t="str">
        <f aca="false">IF($A482="","",IFERROR(INDEX(Products!$D$2:$D$50,MATCH($E482,Products!$A$2:$A$50,0)),0))</f>
        <v/>
      </c>
      <c r="K482" s="41" t="str">
        <f aca="false">IF($A482="","",$F482*$I482*(1-$G482))</f>
        <v/>
      </c>
      <c r="L482" s="41" t="str">
        <f aca="false">IF($A482="","",$F482*$J482)</f>
        <v/>
      </c>
      <c r="M482" s="41" t="str">
        <f aca="false">IF($A482="","",$K482-$L482)</f>
        <v/>
      </c>
    </row>
    <row r="483" customFormat="false" ht="15" hidden="false" customHeight="false" outlineLevel="0" collapsed="false">
      <c r="H483" s="8" t="str">
        <f aca="false">IF($A483="","",IFERROR(INDEX(Products!$B$2:$B$50,MATCH($E483,Products!$A$2:$A$50,0)),"Unmapped"))</f>
        <v/>
      </c>
      <c r="I483" s="41" t="str">
        <f aca="false">IF($A483="","",IFERROR(INDEX(Products!$C$2:$C$50,MATCH($E483,Products!$A$2:$A$50,0)),0))</f>
        <v/>
      </c>
      <c r="J483" s="41" t="str">
        <f aca="false">IF($A483="","",IFERROR(INDEX(Products!$D$2:$D$50,MATCH($E483,Products!$A$2:$A$50,0)),0))</f>
        <v/>
      </c>
      <c r="K483" s="41" t="str">
        <f aca="false">IF($A483="","",$F483*$I483*(1-$G483))</f>
        <v/>
      </c>
      <c r="L483" s="41" t="str">
        <f aca="false">IF($A483="","",$F483*$J483)</f>
        <v/>
      </c>
      <c r="M483" s="41" t="str">
        <f aca="false">IF($A483="","",$K483-$L483)</f>
        <v/>
      </c>
    </row>
    <row r="484" customFormat="false" ht="15" hidden="false" customHeight="false" outlineLevel="0" collapsed="false">
      <c r="H484" s="8" t="str">
        <f aca="false">IF($A484="","",IFERROR(INDEX(Products!$B$2:$B$50,MATCH($E484,Products!$A$2:$A$50,0)),"Unmapped"))</f>
        <v/>
      </c>
      <c r="I484" s="41" t="str">
        <f aca="false">IF($A484="","",IFERROR(INDEX(Products!$C$2:$C$50,MATCH($E484,Products!$A$2:$A$50,0)),0))</f>
        <v/>
      </c>
      <c r="J484" s="41" t="str">
        <f aca="false">IF($A484="","",IFERROR(INDEX(Products!$D$2:$D$50,MATCH($E484,Products!$A$2:$A$50,0)),0))</f>
        <v/>
      </c>
      <c r="K484" s="41" t="str">
        <f aca="false">IF($A484="","",$F484*$I484*(1-$G484))</f>
        <v/>
      </c>
      <c r="L484" s="41" t="str">
        <f aca="false">IF($A484="","",$F484*$J484)</f>
        <v/>
      </c>
      <c r="M484" s="41" t="str">
        <f aca="false">IF($A484="","",$K484-$L484)</f>
        <v/>
      </c>
    </row>
    <row r="485" customFormat="false" ht="15" hidden="false" customHeight="false" outlineLevel="0" collapsed="false">
      <c r="H485" s="8" t="str">
        <f aca="false">IF($A485="","",IFERROR(INDEX(Products!$B$2:$B$50,MATCH($E485,Products!$A$2:$A$50,0)),"Unmapped"))</f>
        <v/>
      </c>
      <c r="I485" s="41" t="str">
        <f aca="false">IF($A485="","",IFERROR(INDEX(Products!$C$2:$C$50,MATCH($E485,Products!$A$2:$A$50,0)),0))</f>
        <v/>
      </c>
      <c r="J485" s="41" t="str">
        <f aca="false">IF($A485="","",IFERROR(INDEX(Products!$D$2:$D$50,MATCH($E485,Products!$A$2:$A$50,0)),0))</f>
        <v/>
      </c>
      <c r="K485" s="41" t="str">
        <f aca="false">IF($A485="","",$F485*$I485*(1-$G485))</f>
        <v/>
      </c>
      <c r="L485" s="41" t="str">
        <f aca="false">IF($A485="","",$F485*$J485)</f>
        <v/>
      </c>
      <c r="M485" s="41" t="str">
        <f aca="false">IF($A485="","",$K485-$L485)</f>
        <v/>
      </c>
    </row>
    <row r="486" customFormat="false" ht="15" hidden="false" customHeight="false" outlineLevel="0" collapsed="false">
      <c r="H486" s="8" t="str">
        <f aca="false">IF($A486="","",IFERROR(INDEX(Products!$B$2:$B$50,MATCH($E486,Products!$A$2:$A$50,0)),"Unmapped"))</f>
        <v/>
      </c>
      <c r="I486" s="41" t="str">
        <f aca="false">IF($A486="","",IFERROR(INDEX(Products!$C$2:$C$50,MATCH($E486,Products!$A$2:$A$50,0)),0))</f>
        <v/>
      </c>
      <c r="J486" s="41" t="str">
        <f aca="false">IF($A486="","",IFERROR(INDEX(Products!$D$2:$D$50,MATCH($E486,Products!$A$2:$A$50,0)),0))</f>
        <v/>
      </c>
      <c r="K486" s="41" t="str">
        <f aca="false">IF($A486="","",$F486*$I486*(1-$G486))</f>
        <v/>
      </c>
      <c r="L486" s="41" t="str">
        <f aca="false">IF($A486="","",$F486*$J486)</f>
        <v/>
      </c>
      <c r="M486" s="41" t="str">
        <f aca="false">IF($A486="","",$K486-$L486)</f>
        <v/>
      </c>
    </row>
    <row r="487" customFormat="false" ht="15" hidden="false" customHeight="false" outlineLevel="0" collapsed="false">
      <c r="H487" s="8" t="str">
        <f aca="false">IF($A487="","",IFERROR(INDEX(Products!$B$2:$B$50,MATCH($E487,Products!$A$2:$A$50,0)),"Unmapped"))</f>
        <v/>
      </c>
      <c r="I487" s="41" t="str">
        <f aca="false">IF($A487="","",IFERROR(INDEX(Products!$C$2:$C$50,MATCH($E487,Products!$A$2:$A$50,0)),0))</f>
        <v/>
      </c>
      <c r="J487" s="41" t="str">
        <f aca="false">IF($A487="","",IFERROR(INDEX(Products!$D$2:$D$50,MATCH($E487,Products!$A$2:$A$50,0)),0))</f>
        <v/>
      </c>
      <c r="K487" s="41" t="str">
        <f aca="false">IF($A487="","",$F487*$I487*(1-$G487))</f>
        <v/>
      </c>
      <c r="L487" s="41" t="str">
        <f aca="false">IF($A487="","",$F487*$J487)</f>
        <v/>
      </c>
      <c r="M487" s="41" t="str">
        <f aca="false">IF($A487="","",$K487-$L487)</f>
        <v/>
      </c>
    </row>
    <row r="488" customFormat="false" ht="15" hidden="false" customHeight="false" outlineLevel="0" collapsed="false">
      <c r="H488" s="8" t="str">
        <f aca="false">IF($A488="","",IFERROR(INDEX(Products!$B$2:$B$50,MATCH($E488,Products!$A$2:$A$50,0)),"Unmapped"))</f>
        <v/>
      </c>
      <c r="I488" s="41" t="str">
        <f aca="false">IF($A488="","",IFERROR(INDEX(Products!$C$2:$C$50,MATCH($E488,Products!$A$2:$A$50,0)),0))</f>
        <v/>
      </c>
      <c r="J488" s="41" t="str">
        <f aca="false">IF($A488="","",IFERROR(INDEX(Products!$D$2:$D$50,MATCH($E488,Products!$A$2:$A$50,0)),0))</f>
        <v/>
      </c>
      <c r="K488" s="41" t="str">
        <f aca="false">IF($A488="","",$F488*$I488*(1-$G488))</f>
        <v/>
      </c>
      <c r="L488" s="41" t="str">
        <f aca="false">IF($A488="","",$F488*$J488)</f>
        <v/>
      </c>
      <c r="M488" s="41" t="str">
        <f aca="false">IF($A488="","",$K488-$L488)</f>
        <v/>
      </c>
    </row>
    <row r="489" customFormat="false" ht="15" hidden="false" customHeight="false" outlineLevel="0" collapsed="false">
      <c r="H489" s="8" t="str">
        <f aca="false">IF($A489="","",IFERROR(INDEX(Products!$B$2:$B$50,MATCH($E489,Products!$A$2:$A$50,0)),"Unmapped"))</f>
        <v/>
      </c>
      <c r="I489" s="41" t="str">
        <f aca="false">IF($A489="","",IFERROR(INDEX(Products!$C$2:$C$50,MATCH($E489,Products!$A$2:$A$50,0)),0))</f>
        <v/>
      </c>
      <c r="J489" s="41" t="str">
        <f aca="false">IF($A489="","",IFERROR(INDEX(Products!$D$2:$D$50,MATCH($E489,Products!$A$2:$A$50,0)),0))</f>
        <v/>
      </c>
      <c r="K489" s="41" t="str">
        <f aca="false">IF($A489="","",$F489*$I489*(1-$G489))</f>
        <v/>
      </c>
      <c r="L489" s="41" t="str">
        <f aca="false">IF($A489="","",$F489*$J489)</f>
        <v/>
      </c>
      <c r="M489" s="41" t="str">
        <f aca="false">IF($A489="","",$K489-$L489)</f>
        <v/>
      </c>
    </row>
    <row r="490" customFormat="false" ht="15" hidden="false" customHeight="false" outlineLevel="0" collapsed="false">
      <c r="H490" s="8" t="str">
        <f aca="false">IF($A490="","",IFERROR(INDEX(Products!$B$2:$B$50,MATCH($E490,Products!$A$2:$A$50,0)),"Unmapped"))</f>
        <v/>
      </c>
      <c r="I490" s="41" t="str">
        <f aca="false">IF($A490="","",IFERROR(INDEX(Products!$C$2:$C$50,MATCH($E490,Products!$A$2:$A$50,0)),0))</f>
        <v/>
      </c>
      <c r="J490" s="41" t="str">
        <f aca="false">IF($A490="","",IFERROR(INDEX(Products!$D$2:$D$50,MATCH($E490,Products!$A$2:$A$50,0)),0))</f>
        <v/>
      </c>
      <c r="K490" s="41" t="str">
        <f aca="false">IF($A490="","",$F490*$I490*(1-$G490))</f>
        <v/>
      </c>
      <c r="L490" s="41" t="str">
        <f aca="false">IF($A490="","",$F490*$J490)</f>
        <v/>
      </c>
      <c r="M490" s="41" t="str">
        <f aca="false">IF($A490="","",$K490-$L490)</f>
        <v/>
      </c>
    </row>
    <row r="491" customFormat="false" ht="15" hidden="false" customHeight="false" outlineLevel="0" collapsed="false">
      <c r="H491" s="8" t="str">
        <f aca="false">IF($A491="","",IFERROR(INDEX(Products!$B$2:$B$50,MATCH($E491,Products!$A$2:$A$50,0)),"Unmapped"))</f>
        <v/>
      </c>
      <c r="I491" s="41" t="str">
        <f aca="false">IF($A491="","",IFERROR(INDEX(Products!$C$2:$C$50,MATCH($E491,Products!$A$2:$A$50,0)),0))</f>
        <v/>
      </c>
      <c r="J491" s="41" t="str">
        <f aca="false">IF($A491="","",IFERROR(INDEX(Products!$D$2:$D$50,MATCH($E491,Products!$A$2:$A$50,0)),0))</f>
        <v/>
      </c>
      <c r="K491" s="41" t="str">
        <f aca="false">IF($A491="","",$F491*$I491*(1-$G491))</f>
        <v/>
      </c>
      <c r="L491" s="41" t="str">
        <f aca="false">IF($A491="","",$F491*$J491)</f>
        <v/>
      </c>
      <c r="M491" s="41" t="str">
        <f aca="false">IF($A491="","",$K491-$L491)</f>
        <v/>
      </c>
    </row>
    <row r="492" customFormat="false" ht="15" hidden="false" customHeight="false" outlineLevel="0" collapsed="false">
      <c r="H492" s="8" t="str">
        <f aca="false">IF($A492="","",IFERROR(INDEX(Products!$B$2:$B$50,MATCH($E492,Products!$A$2:$A$50,0)),"Unmapped"))</f>
        <v/>
      </c>
      <c r="I492" s="41" t="str">
        <f aca="false">IF($A492="","",IFERROR(INDEX(Products!$C$2:$C$50,MATCH($E492,Products!$A$2:$A$50,0)),0))</f>
        <v/>
      </c>
      <c r="J492" s="41" t="str">
        <f aca="false">IF($A492="","",IFERROR(INDEX(Products!$D$2:$D$50,MATCH($E492,Products!$A$2:$A$50,0)),0))</f>
        <v/>
      </c>
      <c r="K492" s="41" t="str">
        <f aca="false">IF($A492="","",$F492*$I492*(1-$G492))</f>
        <v/>
      </c>
      <c r="L492" s="41" t="str">
        <f aca="false">IF($A492="","",$F492*$J492)</f>
        <v/>
      </c>
      <c r="M492" s="41" t="str">
        <f aca="false">IF($A492="","",$K492-$L492)</f>
        <v/>
      </c>
    </row>
    <row r="493" customFormat="false" ht="15" hidden="false" customHeight="false" outlineLevel="0" collapsed="false">
      <c r="H493" s="8" t="str">
        <f aca="false">IF($A493="","",IFERROR(INDEX(Products!$B$2:$B$50,MATCH($E493,Products!$A$2:$A$50,0)),"Unmapped"))</f>
        <v/>
      </c>
      <c r="I493" s="41" t="str">
        <f aca="false">IF($A493="","",IFERROR(INDEX(Products!$C$2:$C$50,MATCH($E493,Products!$A$2:$A$50,0)),0))</f>
        <v/>
      </c>
      <c r="J493" s="41" t="str">
        <f aca="false">IF($A493="","",IFERROR(INDEX(Products!$D$2:$D$50,MATCH($E493,Products!$A$2:$A$50,0)),0))</f>
        <v/>
      </c>
      <c r="K493" s="41" t="str">
        <f aca="false">IF($A493="","",$F493*$I493*(1-$G493))</f>
        <v/>
      </c>
      <c r="L493" s="41" t="str">
        <f aca="false">IF($A493="","",$F493*$J493)</f>
        <v/>
      </c>
      <c r="M493" s="41" t="str">
        <f aca="false">IF($A493="","",$K493-$L493)</f>
        <v/>
      </c>
    </row>
    <row r="494" customFormat="false" ht="15" hidden="false" customHeight="false" outlineLevel="0" collapsed="false">
      <c r="H494" s="8" t="str">
        <f aca="false">IF($A494="","",IFERROR(INDEX(Products!$B$2:$B$50,MATCH($E494,Products!$A$2:$A$50,0)),"Unmapped"))</f>
        <v/>
      </c>
      <c r="I494" s="41" t="str">
        <f aca="false">IF($A494="","",IFERROR(INDEX(Products!$C$2:$C$50,MATCH($E494,Products!$A$2:$A$50,0)),0))</f>
        <v/>
      </c>
      <c r="J494" s="41" t="str">
        <f aca="false">IF($A494="","",IFERROR(INDEX(Products!$D$2:$D$50,MATCH($E494,Products!$A$2:$A$50,0)),0))</f>
        <v/>
      </c>
      <c r="K494" s="41" t="str">
        <f aca="false">IF($A494="","",$F494*$I494*(1-$G494))</f>
        <v/>
      </c>
      <c r="L494" s="41" t="str">
        <f aca="false">IF($A494="","",$F494*$J494)</f>
        <v/>
      </c>
      <c r="M494" s="41" t="str">
        <f aca="false">IF($A494="","",$K494-$L494)</f>
        <v/>
      </c>
    </row>
    <row r="495" customFormat="false" ht="15" hidden="false" customHeight="false" outlineLevel="0" collapsed="false">
      <c r="H495" s="8" t="str">
        <f aca="false">IF($A495="","",IFERROR(INDEX(Products!$B$2:$B$50,MATCH($E495,Products!$A$2:$A$50,0)),"Unmapped"))</f>
        <v/>
      </c>
      <c r="I495" s="41" t="str">
        <f aca="false">IF($A495="","",IFERROR(INDEX(Products!$C$2:$C$50,MATCH($E495,Products!$A$2:$A$50,0)),0))</f>
        <v/>
      </c>
      <c r="J495" s="41" t="str">
        <f aca="false">IF($A495="","",IFERROR(INDEX(Products!$D$2:$D$50,MATCH($E495,Products!$A$2:$A$50,0)),0))</f>
        <v/>
      </c>
      <c r="K495" s="41" t="str">
        <f aca="false">IF($A495="","",$F495*$I495*(1-$G495))</f>
        <v/>
      </c>
      <c r="L495" s="41" t="str">
        <f aca="false">IF($A495="","",$F495*$J495)</f>
        <v/>
      </c>
      <c r="M495" s="41" t="str">
        <f aca="false">IF($A495="","",$K495-$L495)</f>
        <v/>
      </c>
    </row>
    <row r="496" customFormat="false" ht="15" hidden="false" customHeight="false" outlineLevel="0" collapsed="false">
      <c r="H496" s="8" t="str">
        <f aca="false">IF($A496="","",IFERROR(INDEX(Products!$B$2:$B$50,MATCH($E496,Products!$A$2:$A$50,0)),"Unmapped"))</f>
        <v/>
      </c>
      <c r="I496" s="41" t="str">
        <f aca="false">IF($A496="","",IFERROR(INDEX(Products!$C$2:$C$50,MATCH($E496,Products!$A$2:$A$50,0)),0))</f>
        <v/>
      </c>
      <c r="J496" s="41" t="str">
        <f aca="false">IF($A496="","",IFERROR(INDEX(Products!$D$2:$D$50,MATCH($E496,Products!$A$2:$A$50,0)),0))</f>
        <v/>
      </c>
      <c r="K496" s="41" t="str">
        <f aca="false">IF($A496="","",$F496*$I496*(1-$G496))</f>
        <v/>
      </c>
      <c r="L496" s="41" t="str">
        <f aca="false">IF($A496="","",$F496*$J496)</f>
        <v/>
      </c>
      <c r="M496" s="41" t="str">
        <f aca="false">IF($A496="","",$K496-$L496)</f>
        <v/>
      </c>
    </row>
    <row r="497" customFormat="false" ht="15" hidden="false" customHeight="false" outlineLevel="0" collapsed="false">
      <c r="H497" s="8" t="str">
        <f aca="false">IF($A497="","",IFERROR(INDEX(Products!$B$2:$B$50,MATCH($E497,Products!$A$2:$A$50,0)),"Unmapped"))</f>
        <v/>
      </c>
      <c r="I497" s="41" t="str">
        <f aca="false">IF($A497="","",IFERROR(INDEX(Products!$C$2:$C$50,MATCH($E497,Products!$A$2:$A$50,0)),0))</f>
        <v/>
      </c>
      <c r="J497" s="41" t="str">
        <f aca="false">IF($A497="","",IFERROR(INDEX(Products!$D$2:$D$50,MATCH($E497,Products!$A$2:$A$50,0)),0))</f>
        <v/>
      </c>
      <c r="K497" s="41" t="str">
        <f aca="false">IF($A497="","",$F497*$I497*(1-$G497))</f>
        <v/>
      </c>
      <c r="L497" s="41" t="str">
        <f aca="false">IF($A497="","",$F497*$J497)</f>
        <v/>
      </c>
      <c r="M497" s="41" t="str">
        <f aca="false">IF($A497="","",$K497-$L497)</f>
        <v/>
      </c>
    </row>
    <row r="498" customFormat="false" ht="15" hidden="false" customHeight="false" outlineLevel="0" collapsed="false">
      <c r="H498" s="8" t="str">
        <f aca="false">IF($A498="","",IFERROR(INDEX(Products!$B$2:$B$50,MATCH($E498,Products!$A$2:$A$50,0)),"Unmapped"))</f>
        <v/>
      </c>
      <c r="I498" s="41" t="str">
        <f aca="false">IF($A498="","",IFERROR(INDEX(Products!$C$2:$C$50,MATCH($E498,Products!$A$2:$A$50,0)),0))</f>
        <v/>
      </c>
      <c r="J498" s="41" t="str">
        <f aca="false">IF($A498="","",IFERROR(INDEX(Products!$D$2:$D$50,MATCH($E498,Products!$A$2:$A$50,0)),0))</f>
        <v/>
      </c>
      <c r="K498" s="41" t="str">
        <f aca="false">IF($A498="","",$F498*$I498*(1-$G498))</f>
        <v/>
      </c>
      <c r="L498" s="41" t="str">
        <f aca="false">IF($A498="","",$F498*$J498)</f>
        <v/>
      </c>
      <c r="M498" s="41" t="str">
        <f aca="false">IF($A498="","",$K498-$L498)</f>
        <v/>
      </c>
    </row>
    <row r="499" customFormat="false" ht="15" hidden="false" customHeight="false" outlineLevel="0" collapsed="false">
      <c r="H499" s="8" t="str">
        <f aca="false">IF($A499="","",IFERROR(INDEX(Products!$B$2:$B$50,MATCH($E499,Products!$A$2:$A$50,0)),"Unmapped"))</f>
        <v/>
      </c>
      <c r="I499" s="41" t="str">
        <f aca="false">IF($A499="","",IFERROR(INDEX(Products!$C$2:$C$50,MATCH($E499,Products!$A$2:$A$50,0)),0))</f>
        <v/>
      </c>
      <c r="J499" s="41" t="str">
        <f aca="false">IF($A499="","",IFERROR(INDEX(Products!$D$2:$D$50,MATCH($E499,Products!$A$2:$A$50,0)),0))</f>
        <v/>
      </c>
      <c r="K499" s="41" t="str">
        <f aca="false">IF($A499="","",$F499*$I499*(1-$G499))</f>
        <v/>
      </c>
      <c r="L499" s="41" t="str">
        <f aca="false">IF($A499="","",$F499*$J499)</f>
        <v/>
      </c>
      <c r="M499" s="41" t="str">
        <f aca="false">IF($A499="","",$K499-$L499)</f>
        <v/>
      </c>
    </row>
    <row r="500" customFormat="false" ht="15" hidden="false" customHeight="false" outlineLevel="0" collapsed="false">
      <c r="H500" s="8" t="str">
        <f aca="false">IF($A500="","",IFERROR(INDEX(Products!$B$2:$B$50,MATCH($E500,Products!$A$2:$A$50,0)),"Unmapped"))</f>
        <v/>
      </c>
      <c r="I500" s="41" t="str">
        <f aca="false">IF($A500="","",IFERROR(INDEX(Products!$C$2:$C$50,MATCH($E500,Products!$A$2:$A$50,0)),0))</f>
        <v/>
      </c>
      <c r="J500" s="41" t="str">
        <f aca="false">IF($A500="","",IFERROR(INDEX(Products!$D$2:$D$50,MATCH($E500,Products!$A$2:$A$50,0)),0))</f>
        <v/>
      </c>
      <c r="K500" s="41" t="str">
        <f aca="false">IF($A500="","",$F500*$I500*(1-$G500))</f>
        <v/>
      </c>
      <c r="L500" s="41" t="str">
        <f aca="false">IF($A500="","",$F500*$J500)</f>
        <v/>
      </c>
      <c r="M500" s="41" t="str">
        <f aca="false">IF($A500="","",$K500-$L500)</f>
        <v/>
      </c>
    </row>
    <row r="501" customFormat="false" ht="15" hidden="false" customHeight="false" outlineLevel="0" collapsed="false">
      <c r="H501" s="8" t="str">
        <f aca="false">IF($A501="","",IFERROR(INDEX(Products!$B$2:$B$50,MATCH($E501,Products!$A$2:$A$50,0)),"Unmapped"))</f>
        <v/>
      </c>
      <c r="I501" s="41" t="str">
        <f aca="false">IF($A501="","",IFERROR(INDEX(Products!$C$2:$C$50,MATCH($E501,Products!$A$2:$A$50,0)),0))</f>
        <v/>
      </c>
      <c r="J501" s="41" t="str">
        <f aca="false">IF($A501="","",IFERROR(INDEX(Products!$D$2:$D$50,MATCH($E501,Products!$A$2:$A$50,0)),0))</f>
        <v/>
      </c>
      <c r="K501" s="41" t="str">
        <f aca="false">IF($A501="","",$F501*$I501*(1-$G501))</f>
        <v/>
      </c>
      <c r="L501" s="41" t="str">
        <f aca="false">IF($A501="","",$F501*$J501)</f>
        <v/>
      </c>
      <c r="M501" s="41" t="str">
        <f aca="false">IF($A501="","",$K501-$L501)</f>
        <v/>
      </c>
    </row>
    <row r="502" customFormat="false" ht="15" hidden="false" customHeight="false" outlineLevel="0" collapsed="false">
      <c r="H502" s="8" t="str">
        <f aca="false">IF($A502="","",IFERROR(INDEX(Products!$B$2:$B$50,MATCH($E502,Products!$A$2:$A$50,0)),"Unmapped"))</f>
        <v/>
      </c>
      <c r="I502" s="41" t="str">
        <f aca="false">IF($A502="","",IFERROR(INDEX(Products!$C$2:$C$50,MATCH($E502,Products!$A$2:$A$50,0)),0))</f>
        <v/>
      </c>
      <c r="J502" s="41" t="str">
        <f aca="false">IF($A502="","",IFERROR(INDEX(Products!$D$2:$D$50,MATCH($E502,Products!$A$2:$A$50,0)),0))</f>
        <v/>
      </c>
      <c r="K502" s="41" t="str">
        <f aca="false">IF($A502="","",$F502*$I502*(1-$G502))</f>
        <v/>
      </c>
      <c r="L502" s="41" t="str">
        <f aca="false">IF($A502="","",$F502*$J502)</f>
        <v/>
      </c>
      <c r="M502" s="41" t="str">
        <f aca="false">IF($A502="","",$K502-$L502)</f>
        <v/>
      </c>
    </row>
    <row r="503" customFormat="false" ht="15" hidden="false" customHeight="false" outlineLevel="0" collapsed="false">
      <c r="H503" s="8" t="str">
        <f aca="false">IF($A503="","",IFERROR(INDEX(Products!$B$2:$B$50,MATCH($E503,Products!$A$2:$A$50,0)),"Unmapped"))</f>
        <v/>
      </c>
      <c r="I503" s="41" t="str">
        <f aca="false">IF($A503="","",IFERROR(INDEX(Products!$C$2:$C$50,MATCH($E503,Products!$A$2:$A$50,0)),0))</f>
        <v/>
      </c>
      <c r="J503" s="41" t="str">
        <f aca="false">IF($A503="","",IFERROR(INDEX(Products!$D$2:$D$50,MATCH($E503,Products!$A$2:$A$50,0)),0))</f>
        <v/>
      </c>
      <c r="K503" s="41" t="str">
        <f aca="false">IF($A503="","",$F503*$I503*(1-$G503))</f>
        <v/>
      </c>
      <c r="L503" s="41" t="str">
        <f aca="false">IF($A503="","",$F503*$J503)</f>
        <v/>
      </c>
      <c r="M503" s="41" t="str">
        <f aca="false">IF($A503="","",$K503-$L503)</f>
        <v/>
      </c>
    </row>
    <row r="504" customFormat="false" ht="15" hidden="false" customHeight="false" outlineLevel="0" collapsed="false">
      <c r="H504" s="8" t="str">
        <f aca="false">IF($A504="","",IFERROR(INDEX(Products!$B$2:$B$50,MATCH($E504,Products!$A$2:$A$50,0)),"Unmapped"))</f>
        <v/>
      </c>
      <c r="I504" s="41" t="str">
        <f aca="false">IF($A504="","",IFERROR(INDEX(Products!$C$2:$C$50,MATCH($E504,Products!$A$2:$A$50,0)),0))</f>
        <v/>
      </c>
      <c r="J504" s="41" t="str">
        <f aca="false">IF($A504="","",IFERROR(INDEX(Products!$D$2:$D$50,MATCH($E504,Products!$A$2:$A$50,0)),0))</f>
        <v/>
      </c>
      <c r="K504" s="41" t="str">
        <f aca="false">IF($A504="","",$F504*$I504*(1-$G504))</f>
        <v/>
      </c>
      <c r="L504" s="41" t="str">
        <f aca="false">IF($A504="","",$F504*$J504)</f>
        <v/>
      </c>
      <c r="M504" s="41" t="str">
        <f aca="false">IF($A504="","",$K504-$L504)</f>
        <v/>
      </c>
    </row>
    <row r="505" customFormat="false" ht="15" hidden="false" customHeight="false" outlineLevel="0" collapsed="false">
      <c r="H505" s="8" t="str">
        <f aca="false">IF($A505="","",IFERROR(INDEX(Products!$B$2:$B$50,MATCH($E505,Products!$A$2:$A$50,0)),"Unmapped"))</f>
        <v/>
      </c>
      <c r="I505" s="41" t="str">
        <f aca="false">IF($A505="","",IFERROR(INDEX(Products!$C$2:$C$50,MATCH($E505,Products!$A$2:$A$50,0)),0))</f>
        <v/>
      </c>
      <c r="J505" s="41" t="str">
        <f aca="false">IF($A505="","",IFERROR(INDEX(Products!$D$2:$D$50,MATCH($E505,Products!$A$2:$A$50,0)),0))</f>
        <v/>
      </c>
      <c r="K505" s="41" t="str">
        <f aca="false">IF($A505="","",$F505*$I505*(1-$G505))</f>
        <v/>
      </c>
      <c r="L505" s="41" t="str">
        <f aca="false">IF($A505="","",$F505*$J505)</f>
        <v/>
      </c>
      <c r="M505" s="41" t="str">
        <f aca="false">IF($A505="","",$K505-$L505)</f>
        <v/>
      </c>
    </row>
    <row r="506" customFormat="false" ht="15" hidden="false" customHeight="false" outlineLevel="0" collapsed="false">
      <c r="H506" s="8" t="str">
        <f aca="false">IF($A506="","",IFERROR(INDEX(Products!$B$2:$B$50,MATCH($E506,Products!$A$2:$A$50,0)),"Unmapped"))</f>
        <v/>
      </c>
      <c r="I506" s="41" t="str">
        <f aca="false">IF($A506="","",IFERROR(INDEX(Products!$C$2:$C$50,MATCH($E506,Products!$A$2:$A$50,0)),0))</f>
        <v/>
      </c>
      <c r="J506" s="41" t="str">
        <f aca="false">IF($A506="","",IFERROR(INDEX(Products!$D$2:$D$50,MATCH($E506,Products!$A$2:$A$50,0)),0))</f>
        <v/>
      </c>
      <c r="K506" s="41" t="str">
        <f aca="false">IF($A506="","",$F506*$I506*(1-$G506))</f>
        <v/>
      </c>
      <c r="L506" s="41" t="str">
        <f aca="false">IF($A506="","",$F506*$J506)</f>
        <v/>
      </c>
      <c r="M506" s="41" t="str">
        <f aca="false">IF($A506="","",$K506-$L506)</f>
        <v/>
      </c>
    </row>
    <row r="507" customFormat="false" ht="15" hidden="false" customHeight="false" outlineLevel="0" collapsed="false">
      <c r="H507" s="8" t="str">
        <f aca="false">IF($A507="","",IFERROR(INDEX(Products!$B$2:$B$50,MATCH($E507,Products!$A$2:$A$50,0)),"Unmapped"))</f>
        <v/>
      </c>
      <c r="I507" s="41" t="str">
        <f aca="false">IF($A507="","",IFERROR(INDEX(Products!$C$2:$C$50,MATCH($E507,Products!$A$2:$A$50,0)),0))</f>
        <v/>
      </c>
      <c r="J507" s="41" t="str">
        <f aca="false">IF($A507="","",IFERROR(INDEX(Products!$D$2:$D$50,MATCH($E507,Products!$A$2:$A$50,0)),0))</f>
        <v/>
      </c>
      <c r="K507" s="41" t="str">
        <f aca="false">IF($A507="","",$F507*$I507*(1-$G507))</f>
        <v/>
      </c>
      <c r="L507" s="41" t="str">
        <f aca="false">IF($A507="","",$F507*$J507)</f>
        <v/>
      </c>
      <c r="M507" s="41" t="str">
        <f aca="false">IF($A507="","",$K507-$L507)</f>
        <v/>
      </c>
    </row>
    <row r="508" customFormat="false" ht="15" hidden="false" customHeight="false" outlineLevel="0" collapsed="false">
      <c r="H508" s="8" t="str">
        <f aca="false">IF($A508="","",IFERROR(INDEX(Products!$B$2:$B$50,MATCH($E508,Products!$A$2:$A$50,0)),"Unmapped"))</f>
        <v/>
      </c>
      <c r="I508" s="41" t="str">
        <f aca="false">IF($A508="","",IFERROR(INDEX(Products!$C$2:$C$50,MATCH($E508,Products!$A$2:$A$50,0)),0))</f>
        <v/>
      </c>
      <c r="J508" s="41" t="str">
        <f aca="false">IF($A508="","",IFERROR(INDEX(Products!$D$2:$D$50,MATCH($E508,Products!$A$2:$A$50,0)),0))</f>
        <v/>
      </c>
      <c r="K508" s="41" t="str">
        <f aca="false">IF($A508="","",$F508*$I508*(1-$G508))</f>
        <v/>
      </c>
      <c r="L508" s="41" t="str">
        <f aca="false">IF($A508="","",$F508*$J508)</f>
        <v/>
      </c>
      <c r="M508" s="41" t="str">
        <f aca="false">IF($A508="","",$K508-$L508)</f>
        <v/>
      </c>
    </row>
    <row r="509" customFormat="false" ht="15" hidden="false" customHeight="false" outlineLevel="0" collapsed="false">
      <c r="H509" s="8" t="str">
        <f aca="false">IF($A509="","",IFERROR(INDEX(Products!$B$2:$B$50,MATCH($E509,Products!$A$2:$A$50,0)),"Unmapped"))</f>
        <v/>
      </c>
      <c r="I509" s="41" t="str">
        <f aca="false">IF($A509="","",IFERROR(INDEX(Products!$C$2:$C$50,MATCH($E509,Products!$A$2:$A$50,0)),0))</f>
        <v/>
      </c>
      <c r="J509" s="41" t="str">
        <f aca="false">IF($A509="","",IFERROR(INDEX(Products!$D$2:$D$50,MATCH($E509,Products!$A$2:$A$50,0)),0))</f>
        <v/>
      </c>
      <c r="K509" s="41" t="str">
        <f aca="false">IF($A509="","",$F509*$I509*(1-$G509))</f>
        <v/>
      </c>
      <c r="L509" s="41" t="str">
        <f aca="false">IF($A509="","",$F509*$J509)</f>
        <v/>
      </c>
      <c r="M509" s="41" t="str">
        <f aca="false">IF($A509="","",$K509-$L509)</f>
        <v/>
      </c>
    </row>
    <row r="510" customFormat="false" ht="15" hidden="false" customHeight="false" outlineLevel="0" collapsed="false">
      <c r="H510" s="8" t="str">
        <f aca="false">IF($A510="","",IFERROR(INDEX(Products!$B$2:$B$50,MATCH($E510,Products!$A$2:$A$50,0)),"Unmapped"))</f>
        <v/>
      </c>
      <c r="I510" s="41" t="str">
        <f aca="false">IF($A510="","",IFERROR(INDEX(Products!$C$2:$C$50,MATCH($E510,Products!$A$2:$A$50,0)),0))</f>
        <v/>
      </c>
      <c r="J510" s="41" t="str">
        <f aca="false">IF($A510="","",IFERROR(INDEX(Products!$D$2:$D$50,MATCH($E510,Products!$A$2:$A$50,0)),0))</f>
        <v/>
      </c>
      <c r="K510" s="41" t="str">
        <f aca="false">IF($A510="","",$F510*$I510*(1-$G510))</f>
        <v/>
      </c>
      <c r="L510" s="41" t="str">
        <f aca="false">IF($A510="","",$F510*$J510)</f>
        <v/>
      </c>
      <c r="M510" s="41" t="str">
        <f aca="false">IF($A510="","",$K510-$L510)</f>
        <v/>
      </c>
    </row>
    <row r="511" customFormat="false" ht="15" hidden="false" customHeight="false" outlineLevel="0" collapsed="false">
      <c r="H511" s="8" t="str">
        <f aca="false">IF($A511="","",IFERROR(INDEX(Products!$B$2:$B$50,MATCH($E511,Products!$A$2:$A$50,0)),"Unmapped"))</f>
        <v/>
      </c>
      <c r="I511" s="41" t="str">
        <f aca="false">IF($A511="","",IFERROR(INDEX(Products!$C$2:$C$50,MATCH($E511,Products!$A$2:$A$50,0)),0))</f>
        <v/>
      </c>
      <c r="J511" s="41" t="str">
        <f aca="false">IF($A511="","",IFERROR(INDEX(Products!$D$2:$D$50,MATCH($E511,Products!$A$2:$A$50,0)),0))</f>
        <v/>
      </c>
      <c r="K511" s="41" t="str">
        <f aca="false">IF($A511="","",$F511*$I511*(1-$G511))</f>
        <v/>
      </c>
      <c r="L511" s="41" t="str">
        <f aca="false">IF($A511="","",$F511*$J511)</f>
        <v/>
      </c>
      <c r="M511" s="41" t="str">
        <f aca="false">IF($A511="","",$K511-$L511)</f>
        <v/>
      </c>
    </row>
    <row r="512" customFormat="false" ht="15" hidden="false" customHeight="false" outlineLevel="0" collapsed="false">
      <c r="H512" s="8" t="str">
        <f aca="false">IF($A512="","",IFERROR(INDEX(Products!$B$2:$B$50,MATCH($E512,Products!$A$2:$A$50,0)),"Unmapped"))</f>
        <v/>
      </c>
      <c r="I512" s="41" t="str">
        <f aca="false">IF($A512="","",IFERROR(INDEX(Products!$C$2:$C$50,MATCH($E512,Products!$A$2:$A$50,0)),0))</f>
        <v/>
      </c>
      <c r="J512" s="41" t="str">
        <f aca="false">IF($A512="","",IFERROR(INDEX(Products!$D$2:$D$50,MATCH($E512,Products!$A$2:$A$50,0)),0))</f>
        <v/>
      </c>
      <c r="K512" s="41" t="str">
        <f aca="false">IF($A512="","",$F512*$I512*(1-$G512))</f>
        <v/>
      </c>
      <c r="L512" s="41" t="str">
        <f aca="false">IF($A512="","",$F512*$J512)</f>
        <v/>
      </c>
      <c r="M512" s="41" t="str">
        <f aca="false">IF($A512="","",$K512-$L512)</f>
        <v/>
      </c>
    </row>
    <row r="513" customFormat="false" ht="15" hidden="false" customHeight="false" outlineLevel="0" collapsed="false">
      <c r="H513" s="8" t="str">
        <f aca="false">IF($A513="","",IFERROR(INDEX(Products!$B$2:$B$50,MATCH($E513,Products!$A$2:$A$50,0)),"Unmapped"))</f>
        <v/>
      </c>
      <c r="I513" s="41" t="str">
        <f aca="false">IF($A513="","",IFERROR(INDEX(Products!$C$2:$C$50,MATCH($E513,Products!$A$2:$A$50,0)),0))</f>
        <v/>
      </c>
      <c r="J513" s="41" t="str">
        <f aca="false">IF($A513="","",IFERROR(INDEX(Products!$D$2:$D$50,MATCH($E513,Products!$A$2:$A$50,0)),0))</f>
        <v/>
      </c>
      <c r="K513" s="41" t="str">
        <f aca="false">IF($A513="","",$F513*$I513*(1-$G513))</f>
        <v/>
      </c>
      <c r="L513" s="41" t="str">
        <f aca="false">IF($A513="","",$F513*$J513)</f>
        <v/>
      </c>
      <c r="M513" s="41" t="str">
        <f aca="false">IF($A513="","",$K513-$L513)</f>
        <v/>
      </c>
    </row>
    <row r="514" customFormat="false" ht="15" hidden="false" customHeight="false" outlineLevel="0" collapsed="false">
      <c r="H514" s="8" t="str">
        <f aca="false">IF($A514="","",IFERROR(INDEX(Products!$B$2:$B$50,MATCH($E514,Products!$A$2:$A$50,0)),"Unmapped"))</f>
        <v/>
      </c>
      <c r="I514" s="41" t="str">
        <f aca="false">IF($A514="","",IFERROR(INDEX(Products!$C$2:$C$50,MATCH($E514,Products!$A$2:$A$50,0)),0))</f>
        <v/>
      </c>
      <c r="J514" s="41" t="str">
        <f aca="false">IF($A514="","",IFERROR(INDEX(Products!$D$2:$D$50,MATCH($E514,Products!$A$2:$A$50,0)),0))</f>
        <v/>
      </c>
      <c r="K514" s="41" t="str">
        <f aca="false">IF($A514="","",$F514*$I514*(1-$G514))</f>
        <v/>
      </c>
      <c r="L514" s="41" t="str">
        <f aca="false">IF($A514="","",$F514*$J514)</f>
        <v/>
      </c>
      <c r="M514" s="41" t="str">
        <f aca="false">IF($A514="","",$K514-$L514)</f>
        <v/>
      </c>
    </row>
    <row r="515" customFormat="false" ht="15" hidden="false" customHeight="false" outlineLevel="0" collapsed="false">
      <c r="H515" s="8" t="str">
        <f aca="false">IF($A515="","",IFERROR(INDEX(Products!$B$2:$B$50,MATCH($E515,Products!$A$2:$A$50,0)),"Unmapped"))</f>
        <v/>
      </c>
      <c r="I515" s="41" t="str">
        <f aca="false">IF($A515="","",IFERROR(INDEX(Products!$C$2:$C$50,MATCH($E515,Products!$A$2:$A$50,0)),0))</f>
        <v/>
      </c>
      <c r="J515" s="41" t="str">
        <f aca="false">IF($A515="","",IFERROR(INDEX(Products!$D$2:$D$50,MATCH($E515,Products!$A$2:$A$50,0)),0))</f>
        <v/>
      </c>
      <c r="K515" s="41" t="str">
        <f aca="false">IF($A515="","",$F515*$I515*(1-$G515))</f>
        <v/>
      </c>
      <c r="L515" s="41" t="str">
        <f aca="false">IF($A515="","",$F515*$J515)</f>
        <v/>
      </c>
      <c r="M515" s="41" t="str">
        <f aca="false">IF($A515="","",$K515-$L515)</f>
        <v/>
      </c>
    </row>
    <row r="516" customFormat="false" ht="15" hidden="false" customHeight="false" outlineLevel="0" collapsed="false">
      <c r="H516" s="8" t="str">
        <f aca="false">IF($A516="","",IFERROR(INDEX(Products!$B$2:$B$50,MATCH($E516,Products!$A$2:$A$50,0)),"Unmapped"))</f>
        <v/>
      </c>
      <c r="I516" s="41" t="str">
        <f aca="false">IF($A516="","",IFERROR(INDEX(Products!$C$2:$C$50,MATCH($E516,Products!$A$2:$A$50,0)),0))</f>
        <v/>
      </c>
      <c r="J516" s="41" t="str">
        <f aca="false">IF($A516="","",IFERROR(INDEX(Products!$D$2:$D$50,MATCH($E516,Products!$A$2:$A$50,0)),0))</f>
        <v/>
      </c>
      <c r="K516" s="41" t="str">
        <f aca="false">IF($A516="","",$F516*$I516*(1-$G516))</f>
        <v/>
      </c>
      <c r="L516" s="41" t="str">
        <f aca="false">IF($A516="","",$F516*$J516)</f>
        <v/>
      </c>
      <c r="M516" s="41" t="str">
        <f aca="false">IF($A516="","",$K516-$L516)</f>
        <v/>
      </c>
    </row>
    <row r="517" customFormat="false" ht="15" hidden="false" customHeight="false" outlineLevel="0" collapsed="false">
      <c r="H517" s="8" t="str">
        <f aca="false">IF($A517="","",IFERROR(INDEX(Products!$B$2:$B$50,MATCH($E517,Products!$A$2:$A$50,0)),"Unmapped"))</f>
        <v/>
      </c>
      <c r="I517" s="41" t="str">
        <f aca="false">IF($A517="","",IFERROR(INDEX(Products!$C$2:$C$50,MATCH($E517,Products!$A$2:$A$50,0)),0))</f>
        <v/>
      </c>
      <c r="J517" s="41" t="str">
        <f aca="false">IF($A517="","",IFERROR(INDEX(Products!$D$2:$D$50,MATCH($E517,Products!$A$2:$A$50,0)),0))</f>
        <v/>
      </c>
      <c r="K517" s="41" t="str">
        <f aca="false">IF($A517="","",$F517*$I517*(1-$G517))</f>
        <v/>
      </c>
      <c r="L517" s="41" t="str">
        <f aca="false">IF($A517="","",$F517*$J517)</f>
        <v/>
      </c>
      <c r="M517" s="41" t="str">
        <f aca="false">IF($A517="","",$K517-$L517)</f>
        <v/>
      </c>
    </row>
    <row r="518" customFormat="false" ht="15" hidden="false" customHeight="false" outlineLevel="0" collapsed="false">
      <c r="H518" s="8" t="str">
        <f aca="false">IF($A518="","",IFERROR(INDEX(Products!$B$2:$B$50,MATCH($E518,Products!$A$2:$A$50,0)),"Unmapped"))</f>
        <v/>
      </c>
      <c r="I518" s="41" t="str">
        <f aca="false">IF($A518="","",IFERROR(INDEX(Products!$C$2:$C$50,MATCH($E518,Products!$A$2:$A$50,0)),0))</f>
        <v/>
      </c>
      <c r="J518" s="41" t="str">
        <f aca="false">IF($A518="","",IFERROR(INDEX(Products!$D$2:$D$50,MATCH($E518,Products!$A$2:$A$50,0)),0))</f>
        <v/>
      </c>
      <c r="K518" s="41" t="str">
        <f aca="false">IF($A518="","",$F518*$I518*(1-$G518))</f>
        <v/>
      </c>
      <c r="L518" s="41" t="str">
        <f aca="false">IF($A518="","",$F518*$J518)</f>
        <v/>
      </c>
      <c r="M518" s="41" t="str">
        <f aca="false">IF($A518="","",$K518-$L518)</f>
        <v/>
      </c>
    </row>
    <row r="519" customFormat="false" ht="15" hidden="false" customHeight="false" outlineLevel="0" collapsed="false">
      <c r="H519" s="8" t="str">
        <f aca="false">IF($A519="","",IFERROR(INDEX(Products!$B$2:$B$50,MATCH($E519,Products!$A$2:$A$50,0)),"Unmapped"))</f>
        <v/>
      </c>
      <c r="I519" s="41" t="str">
        <f aca="false">IF($A519="","",IFERROR(INDEX(Products!$C$2:$C$50,MATCH($E519,Products!$A$2:$A$50,0)),0))</f>
        <v/>
      </c>
      <c r="J519" s="41" t="str">
        <f aca="false">IF($A519="","",IFERROR(INDEX(Products!$D$2:$D$50,MATCH($E519,Products!$A$2:$A$50,0)),0))</f>
        <v/>
      </c>
      <c r="K519" s="41" t="str">
        <f aca="false">IF($A519="","",$F519*$I519*(1-$G519))</f>
        <v/>
      </c>
      <c r="L519" s="41" t="str">
        <f aca="false">IF($A519="","",$F519*$J519)</f>
        <v/>
      </c>
      <c r="M519" s="41" t="str">
        <f aca="false">IF($A519="","",$K519-$L519)</f>
        <v/>
      </c>
    </row>
    <row r="520" customFormat="false" ht="15" hidden="false" customHeight="false" outlineLevel="0" collapsed="false">
      <c r="H520" s="8" t="str">
        <f aca="false">IF($A520="","",IFERROR(INDEX(Products!$B$2:$B$50,MATCH($E520,Products!$A$2:$A$50,0)),"Unmapped"))</f>
        <v/>
      </c>
      <c r="I520" s="41" t="str">
        <f aca="false">IF($A520="","",IFERROR(INDEX(Products!$C$2:$C$50,MATCH($E520,Products!$A$2:$A$50,0)),0))</f>
        <v/>
      </c>
      <c r="J520" s="41" t="str">
        <f aca="false">IF($A520="","",IFERROR(INDEX(Products!$D$2:$D$50,MATCH($E520,Products!$A$2:$A$50,0)),0))</f>
        <v/>
      </c>
      <c r="K520" s="41" t="str">
        <f aca="false">IF($A520="","",$F520*$I520*(1-$G520))</f>
        <v/>
      </c>
      <c r="L520" s="41" t="str">
        <f aca="false">IF($A520="","",$F520*$J520)</f>
        <v/>
      </c>
      <c r="M520" s="41" t="str">
        <f aca="false">IF($A520="","",$K520-$L520)</f>
        <v/>
      </c>
    </row>
    <row r="521" customFormat="false" ht="15" hidden="false" customHeight="false" outlineLevel="0" collapsed="false">
      <c r="H521" s="8" t="str">
        <f aca="false">IF($A521="","",IFERROR(INDEX(Products!$B$2:$B$50,MATCH($E521,Products!$A$2:$A$50,0)),"Unmapped"))</f>
        <v/>
      </c>
      <c r="I521" s="41" t="str">
        <f aca="false">IF($A521="","",IFERROR(INDEX(Products!$C$2:$C$50,MATCH($E521,Products!$A$2:$A$50,0)),0))</f>
        <v/>
      </c>
      <c r="J521" s="41" t="str">
        <f aca="false">IF($A521="","",IFERROR(INDEX(Products!$D$2:$D$50,MATCH($E521,Products!$A$2:$A$50,0)),0))</f>
        <v/>
      </c>
      <c r="K521" s="41" t="str">
        <f aca="false">IF($A521="","",$F521*$I521*(1-$G521))</f>
        <v/>
      </c>
      <c r="L521" s="41" t="str">
        <f aca="false">IF($A521="","",$F521*$J521)</f>
        <v/>
      </c>
      <c r="M521" s="41" t="str">
        <f aca="false">IF($A521="","",$K521-$L521)</f>
        <v/>
      </c>
    </row>
    <row r="522" customFormat="false" ht="15" hidden="false" customHeight="false" outlineLevel="0" collapsed="false">
      <c r="H522" s="8" t="str">
        <f aca="false">IF($A522="","",IFERROR(INDEX(Products!$B$2:$B$50,MATCH($E522,Products!$A$2:$A$50,0)),"Unmapped"))</f>
        <v/>
      </c>
      <c r="I522" s="41" t="str">
        <f aca="false">IF($A522="","",IFERROR(INDEX(Products!$C$2:$C$50,MATCH($E522,Products!$A$2:$A$50,0)),0))</f>
        <v/>
      </c>
      <c r="J522" s="41" t="str">
        <f aca="false">IF($A522="","",IFERROR(INDEX(Products!$D$2:$D$50,MATCH($E522,Products!$A$2:$A$50,0)),0))</f>
        <v/>
      </c>
      <c r="K522" s="41" t="str">
        <f aca="false">IF($A522="","",$F522*$I522*(1-$G522))</f>
        <v/>
      </c>
      <c r="L522" s="41" t="str">
        <f aca="false">IF($A522="","",$F522*$J522)</f>
        <v/>
      </c>
      <c r="M522" s="41" t="str">
        <f aca="false">IF($A522="","",$K522-$L522)</f>
        <v/>
      </c>
    </row>
    <row r="523" customFormat="false" ht="15" hidden="false" customHeight="false" outlineLevel="0" collapsed="false">
      <c r="H523" s="8" t="str">
        <f aca="false">IF($A523="","",IFERROR(INDEX(Products!$B$2:$B$50,MATCH($E523,Products!$A$2:$A$50,0)),"Unmapped"))</f>
        <v/>
      </c>
      <c r="I523" s="41" t="str">
        <f aca="false">IF($A523="","",IFERROR(INDEX(Products!$C$2:$C$50,MATCH($E523,Products!$A$2:$A$50,0)),0))</f>
        <v/>
      </c>
      <c r="J523" s="41" t="str">
        <f aca="false">IF($A523="","",IFERROR(INDEX(Products!$D$2:$D$50,MATCH($E523,Products!$A$2:$A$50,0)),0))</f>
        <v/>
      </c>
      <c r="K523" s="41" t="str">
        <f aca="false">IF($A523="","",$F523*$I523*(1-$G523))</f>
        <v/>
      </c>
      <c r="L523" s="41" t="str">
        <f aca="false">IF($A523="","",$F523*$J523)</f>
        <v/>
      </c>
      <c r="M523" s="41" t="str">
        <f aca="false">IF($A523="","",$K523-$L523)</f>
        <v/>
      </c>
    </row>
    <row r="524" customFormat="false" ht="15" hidden="false" customHeight="false" outlineLevel="0" collapsed="false">
      <c r="H524" s="8" t="str">
        <f aca="false">IF($A524="","",IFERROR(INDEX(Products!$B$2:$B$50,MATCH($E524,Products!$A$2:$A$50,0)),"Unmapped"))</f>
        <v/>
      </c>
      <c r="I524" s="41" t="str">
        <f aca="false">IF($A524="","",IFERROR(INDEX(Products!$C$2:$C$50,MATCH($E524,Products!$A$2:$A$50,0)),0))</f>
        <v/>
      </c>
      <c r="J524" s="41" t="str">
        <f aca="false">IF($A524="","",IFERROR(INDEX(Products!$D$2:$D$50,MATCH($E524,Products!$A$2:$A$50,0)),0))</f>
        <v/>
      </c>
      <c r="K524" s="41" t="str">
        <f aca="false">IF($A524="","",$F524*$I524*(1-$G524))</f>
        <v/>
      </c>
      <c r="L524" s="41" t="str">
        <f aca="false">IF($A524="","",$F524*$J524)</f>
        <v/>
      </c>
      <c r="M524" s="41" t="str">
        <f aca="false">IF($A524="","",$K524-$L524)</f>
        <v/>
      </c>
    </row>
    <row r="525" customFormat="false" ht="15" hidden="false" customHeight="false" outlineLevel="0" collapsed="false">
      <c r="H525" s="8" t="str">
        <f aca="false">IF($A525="","",IFERROR(INDEX(Products!$B$2:$B$50,MATCH($E525,Products!$A$2:$A$50,0)),"Unmapped"))</f>
        <v/>
      </c>
      <c r="I525" s="41" t="str">
        <f aca="false">IF($A525="","",IFERROR(INDEX(Products!$C$2:$C$50,MATCH($E525,Products!$A$2:$A$50,0)),0))</f>
        <v/>
      </c>
      <c r="J525" s="41" t="str">
        <f aca="false">IF($A525="","",IFERROR(INDEX(Products!$D$2:$D$50,MATCH($E525,Products!$A$2:$A$50,0)),0))</f>
        <v/>
      </c>
      <c r="K525" s="41" t="str">
        <f aca="false">IF($A525="","",$F525*$I525*(1-$G525))</f>
        <v/>
      </c>
      <c r="L525" s="41" t="str">
        <f aca="false">IF($A525="","",$F525*$J525)</f>
        <v/>
      </c>
      <c r="M525" s="41" t="str">
        <f aca="false">IF($A525="","",$K525-$L525)</f>
        <v/>
      </c>
    </row>
    <row r="526" customFormat="false" ht="15" hidden="false" customHeight="false" outlineLevel="0" collapsed="false">
      <c r="H526" s="8" t="str">
        <f aca="false">IF($A526="","",IFERROR(INDEX(Products!$B$2:$B$50,MATCH($E526,Products!$A$2:$A$50,0)),"Unmapped"))</f>
        <v/>
      </c>
      <c r="I526" s="41" t="str">
        <f aca="false">IF($A526="","",IFERROR(INDEX(Products!$C$2:$C$50,MATCH($E526,Products!$A$2:$A$50,0)),0))</f>
        <v/>
      </c>
      <c r="J526" s="41" t="str">
        <f aca="false">IF($A526="","",IFERROR(INDEX(Products!$D$2:$D$50,MATCH($E526,Products!$A$2:$A$50,0)),0))</f>
        <v/>
      </c>
      <c r="K526" s="41" t="str">
        <f aca="false">IF($A526="","",$F526*$I526*(1-$G526))</f>
        <v/>
      </c>
      <c r="L526" s="41" t="str">
        <f aca="false">IF($A526="","",$F526*$J526)</f>
        <v/>
      </c>
      <c r="M526" s="41" t="str">
        <f aca="false">IF($A526="","",$K526-$L526)</f>
        <v/>
      </c>
    </row>
    <row r="527" customFormat="false" ht="15" hidden="false" customHeight="false" outlineLevel="0" collapsed="false">
      <c r="H527" s="8" t="str">
        <f aca="false">IF($A527="","",IFERROR(INDEX(Products!$B$2:$B$50,MATCH($E527,Products!$A$2:$A$50,0)),"Unmapped"))</f>
        <v/>
      </c>
      <c r="I527" s="41" t="str">
        <f aca="false">IF($A527="","",IFERROR(INDEX(Products!$C$2:$C$50,MATCH($E527,Products!$A$2:$A$50,0)),0))</f>
        <v/>
      </c>
      <c r="J527" s="41" t="str">
        <f aca="false">IF($A527="","",IFERROR(INDEX(Products!$D$2:$D$50,MATCH($E527,Products!$A$2:$A$50,0)),0))</f>
        <v/>
      </c>
      <c r="K527" s="41" t="str">
        <f aca="false">IF($A527="","",$F527*$I527*(1-$G527))</f>
        <v/>
      </c>
      <c r="L527" s="41" t="str">
        <f aca="false">IF($A527="","",$F527*$J527)</f>
        <v/>
      </c>
      <c r="M527" s="41" t="str">
        <f aca="false">IF($A527="","",$K527-$L527)</f>
        <v/>
      </c>
    </row>
    <row r="528" customFormat="false" ht="15" hidden="false" customHeight="false" outlineLevel="0" collapsed="false">
      <c r="H528" s="8" t="str">
        <f aca="false">IF($A528="","",IFERROR(INDEX(Products!$B$2:$B$50,MATCH($E528,Products!$A$2:$A$50,0)),"Unmapped"))</f>
        <v/>
      </c>
      <c r="I528" s="41" t="str">
        <f aca="false">IF($A528="","",IFERROR(INDEX(Products!$C$2:$C$50,MATCH($E528,Products!$A$2:$A$50,0)),0))</f>
        <v/>
      </c>
      <c r="J528" s="41" t="str">
        <f aca="false">IF($A528="","",IFERROR(INDEX(Products!$D$2:$D$50,MATCH($E528,Products!$A$2:$A$50,0)),0))</f>
        <v/>
      </c>
      <c r="K528" s="41" t="str">
        <f aca="false">IF($A528="","",$F528*$I528*(1-$G528))</f>
        <v/>
      </c>
      <c r="L528" s="41" t="str">
        <f aca="false">IF($A528="","",$F528*$J528)</f>
        <v/>
      </c>
      <c r="M528" s="41" t="str">
        <f aca="false">IF($A528="","",$K528-$L528)</f>
        <v/>
      </c>
    </row>
    <row r="529" customFormat="false" ht="15" hidden="false" customHeight="false" outlineLevel="0" collapsed="false">
      <c r="H529" s="8" t="str">
        <f aca="false">IF($A529="","",IFERROR(INDEX(Products!$B$2:$B$50,MATCH($E529,Products!$A$2:$A$50,0)),"Unmapped"))</f>
        <v/>
      </c>
      <c r="I529" s="41" t="str">
        <f aca="false">IF($A529="","",IFERROR(INDEX(Products!$C$2:$C$50,MATCH($E529,Products!$A$2:$A$50,0)),0))</f>
        <v/>
      </c>
      <c r="J529" s="41" t="str">
        <f aca="false">IF($A529="","",IFERROR(INDEX(Products!$D$2:$D$50,MATCH($E529,Products!$A$2:$A$50,0)),0))</f>
        <v/>
      </c>
      <c r="K529" s="41" t="str">
        <f aca="false">IF($A529="","",$F529*$I529*(1-$G529))</f>
        <v/>
      </c>
      <c r="L529" s="41" t="str">
        <f aca="false">IF($A529="","",$F529*$J529)</f>
        <v/>
      </c>
      <c r="M529" s="41" t="str">
        <f aca="false">IF($A529="","",$K529-$L529)</f>
        <v/>
      </c>
    </row>
    <row r="530" customFormat="false" ht="15" hidden="false" customHeight="false" outlineLevel="0" collapsed="false">
      <c r="H530" s="8" t="str">
        <f aca="false">IF($A530="","",IFERROR(INDEX(Products!$B$2:$B$50,MATCH($E530,Products!$A$2:$A$50,0)),"Unmapped"))</f>
        <v/>
      </c>
      <c r="I530" s="41" t="str">
        <f aca="false">IF($A530="","",IFERROR(INDEX(Products!$C$2:$C$50,MATCH($E530,Products!$A$2:$A$50,0)),0))</f>
        <v/>
      </c>
      <c r="J530" s="41" t="str">
        <f aca="false">IF($A530="","",IFERROR(INDEX(Products!$D$2:$D$50,MATCH($E530,Products!$A$2:$A$50,0)),0))</f>
        <v/>
      </c>
      <c r="K530" s="41" t="str">
        <f aca="false">IF($A530="","",$F530*$I530*(1-$G530))</f>
        <v/>
      </c>
      <c r="L530" s="41" t="str">
        <f aca="false">IF($A530="","",$F530*$J530)</f>
        <v/>
      </c>
      <c r="M530" s="41" t="str">
        <f aca="false">IF($A530="","",$K530-$L530)</f>
        <v/>
      </c>
    </row>
    <row r="531" customFormat="false" ht="15" hidden="false" customHeight="false" outlineLevel="0" collapsed="false">
      <c r="H531" s="8" t="str">
        <f aca="false">IF($A531="","",IFERROR(INDEX(Products!$B$2:$B$50,MATCH($E531,Products!$A$2:$A$50,0)),"Unmapped"))</f>
        <v/>
      </c>
      <c r="I531" s="41" t="str">
        <f aca="false">IF($A531="","",IFERROR(INDEX(Products!$C$2:$C$50,MATCH($E531,Products!$A$2:$A$50,0)),0))</f>
        <v/>
      </c>
      <c r="J531" s="41" t="str">
        <f aca="false">IF($A531="","",IFERROR(INDEX(Products!$D$2:$D$50,MATCH($E531,Products!$A$2:$A$50,0)),0))</f>
        <v/>
      </c>
      <c r="K531" s="41" t="str">
        <f aca="false">IF($A531="","",$F531*$I531*(1-$G531))</f>
        <v/>
      </c>
      <c r="L531" s="41" t="str">
        <f aca="false">IF($A531="","",$F531*$J531)</f>
        <v/>
      </c>
      <c r="M531" s="41" t="str">
        <f aca="false">IF($A531="","",$K531-$L531)</f>
        <v/>
      </c>
    </row>
    <row r="532" customFormat="false" ht="15" hidden="false" customHeight="false" outlineLevel="0" collapsed="false">
      <c r="H532" s="8" t="str">
        <f aca="false">IF($A532="","",IFERROR(INDEX(Products!$B$2:$B$50,MATCH($E532,Products!$A$2:$A$50,0)),"Unmapped"))</f>
        <v/>
      </c>
      <c r="I532" s="41" t="str">
        <f aca="false">IF($A532="","",IFERROR(INDEX(Products!$C$2:$C$50,MATCH($E532,Products!$A$2:$A$50,0)),0))</f>
        <v/>
      </c>
      <c r="J532" s="41" t="str">
        <f aca="false">IF($A532="","",IFERROR(INDEX(Products!$D$2:$D$50,MATCH($E532,Products!$A$2:$A$50,0)),0))</f>
        <v/>
      </c>
      <c r="K532" s="41" t="str">
        <f aca="false">IF($A532="","",$F532*$I532*(1-$G532))</f>
        <v/>
      </c>
      <c r="L532" s="41" t="str">
        <f aca="false">IF($A532="","",$F532*$J532)</f>
        <v/>
      </c>
      <c r="M532" s="41" t="str">
        <f aca="false">IF($A532="","",$K532-$L532)</f>
        <v/>
      </c>
    </row>
    <row r="533" customFormat="false" ht="15" hidden="false" customHeight="false" outlineLevel="0" collapsed="false">
      <c r="H533" s="8" t="str">
        <f aca="false">IF($A533="","",IFERROR(INDEX(Products!$B$2:$B$50,MATCH($E533,Products!$A$2:$A$50,0)),"Unmapped"))</f>
        <v/>
      </c>
      <c r="I533" s="41" t="str">
        <f aca="false">IF($A533="","",IFERROR(INDEX(Products!$C$2:$C$50,MATCH($E533,Products!$A$2:$A$50,0)),0))</f>
        <v/>
      </c>
      <c r="J533" s="41" t="str">
        <f aca="false">IF($A533="","",IFERROR(INDEX(Products!$D$2:$D$50,MATCH($E533,Products!$A$2:$A$50,0)),0))</f>
        <v/>
      </c>
      <c r="K533" s="41" t="str">
        <f aca="false">IF($A533="","",$F533*$I533*(1-$G533))</f>
        <v/>
      </c>
      <c r="L533" s="41" t="str">
        <f aca="false">IF($A533="","",$F533*$J533)</f>
        <v/>
      </c>
      <c r="M533" s="41" t="str">
        <f aca="false">IF($A533="","",$K533-$L533)</f>
        <v/>
      </c>
    </row>
    <row r="534" customFormat="false" ht="15" hidden="false" customHeight="false" outlineLevel="0" collapsed="false">
      <c r="H534" s="8" t="str">
        <f aca="false">IF($A534="","",IFERROR(INDEX(Products!$B$2:$B$50,MATCH($E534,Products!$A$2:$A$50,0)),"Unmapped"))</f>
        <v/>
      </c>
      <c r="I534" s="41" t="str">
        <f aca="false">IF($A534="","",IFERROR(INDEX(Products!$C$2:$C$50,MATCH($E534,Products!$A$2:$A$50,0)),0))</f>
        <v/>
      </c>
      <c r="J534" s="41" t="str">
        <f aca="false">IF($A534="","",IFERROR(INDEX(Products!$D$2:$D$50,MATCH($E534,Products!$A$2:$A$50,0)),0))</f>
        <v/>
      </c>
      <c r="K534" s="41" t="str">
        <f aca="false">IF($A534="","",$F534*$I534*(1-$G534))</f>
        <v/>
      </c>
      <c r="L534" s="41" t="str">
        <f aca="false">IF($A534="","",$F534*$J534)</f>
        <v/>
      </c>
      <c r="M534" s="41" t="str">
        <f aca="false">IF($A534="","",$K534-$L534)</f>
        <v/>
      </c>
    </row>
    <row r="535" customFormat="false" ht="15" hidden="false" customHeight="false" outlineLevel="0" collapsed="false">
      <c r="H535" s="8" t="str">
        <f aca="false">IF($A535="","",IFERROR(INDEX(Products!$B$2:$B$50,MATCH($E535,Products!$A$2:$A$50,0)),"Unmapped"))</f>
        <v/>
      </c>
      <c r="I535" s="41" t="str">
        <f aca="false">IF($A535="","",IFERROR(INDEX(Products!$C$2:$C$50,MATCH($E535,Products!$A$2:$A$50,0)),0))</f>
        <v/>
      </c>
      <c r="J535" s="41" t="str">
        <f aca="false">IF($A535="","",IFERROR(INDEX(Products!$D$2:$D$50,MATCH($E535,Products!$A$2:$A$50,0)),0))</f>
        <v/>
      </c>
      <c r="K535" s="41" t="str">
        <f aca="false">IF($A535="","",$F535*$I535*(1-$G535))</f>
        <v/>
      </c>
      <c r="L535" s="41" t="str">
        <f aca="false">IF($A535="","",$F535*$J535)</f>
        <v/>
      </c>
      <c r="M535" s="41" t="str">
        <f aca="false">IF($A535="","",$K535-$L535)</f>
        <v/>
      </c>
    </row>
    <row r="536" customFormat="false" ht="15" hidden="false" customHeight="false" outlineLevel="0" collapsed="false">
      <c r="H536" s="8" t="str">
        <f aca="false">IF($A536="","",IFERROR(INDEX(Products!$B$2:$B$50,MATCH($E536,Products!$A$2:$A$50,0)),"Unmapped"))</f>
        <v/>
      </c>
      <c r="I536" s="41" t="str">
        <f aca="false">IF($A536="","",IFERROR(INDEX(Products!$C$2:$C$50,MATCH($E536,Products!$A$2:$A$50,0)),0))</f>
        <v/>
      </c>
      <c r="J536" s="41" t="str">
        <f aca="false">IF($A536="","",IFERROR(INDEX(Products!$D$2:$D$50,MATCH($E536,Products!$A$2:$A$50,0)),0))</f>
        <v/>
      </c>
      <c r="K536" s="41" t="str">
        <f aca="false">IF($A536="","",$F536*$I536*(1-$G536))</f>
        <v/>
      </c>
      <c r="L536" s="41" t="str">
        <f aca="false">IF($A536="","",$F536*$J536)</f>
        <v/>
      </c>
      <c r="M536" s="41" t="str">
        <f aca="false">IF($A536="","",$K536-$L536)</f>
        <v/>
      </c>
    </row>
    <row r="537" customFormat="false" ht="15" hidden="false" customHeight="false" outlineLevel="0" collapsed="false">
      <c r="H537" s="8" t="str">
        <f aca="false">IF($A537="","",IFERROR(INDEX(Products!$B$2:$B$50,MATCH($E537,Products!$A$2:$A$50,0)),"Unmapped"))</f>
        <v/>
      </c>
      <c r="I537" s="41" t="str">
        <f aca="false">IF($A537="","",IFERROR(INDEX(Products!$C$2:$C$50,MATCH($E537,Products!$A$2:$A$50,0)),0))</f>
        <v/>
      </c>
      <c r="J537" s="41" t="str">
        <f aca="false">IF($A537="","",IFERROR(INDEX(Products!$D$2:$D$50,MATCH($E537,Products!$A$2:$A$50,0)),0))</f>
        <v/>
      </c>
      <c r="K537" s="41" t="str">
        <f aca="false">IF($A537="","",$F537*$I537*(1-$G537))</f>
        <v/>
      </c>
      <c r="L537" s="41" t="str">
        <f aca="false">IF($A537="","",$F537*$J537)</f>
        <v/>
      </c>
      <c r="M537" s="41" t="str">
        <f aca="false">IF($A537="","",$K537-$L537)</f>
        <v/>
      </c>
    </row>
    <row r="538" customFormat="false" ht="15" hidden="false" customHeight="false" outlineLevel="0" collapsed="false">
      <c r="H538" s="8" t="str">
        <f aca="false">IF($A538="","",IFERROR(INDEX(Products!$B$2:$B$50,MATCH($E538,Products!$A$2:$A$50,0)),"Unmapped"))</f>
        <v/>
      </c>
      <c r="I538" s="41" t="str">
        <f aca="false">IF($A538="","",IFERROR(INDEX(Products!$C$2:$C$50,MATCH($E538,Products!$A$2:$A$50,0)),0))</f>
        <v/>
      </c>
      <c r="J538" s="41" t="str">
        <f aca="false">IF($A538="","",IFERROR(INDEX(Products!$D$2:$D$50,MATCH($E538,Products!$A$2:$A$50,0)),0))</f>
        <v/>
      </c>
      <c r="K538" s="41" t="str">
        <f aca="false">IF($A538="","",$F538*$I538*(1-$G538))</f>
        <v/>
      </c>
      <c r="L538" s="41" t="str">
        <f aca="false">IF($A538="","",$F538*$J538)</f>
        <v/>
      </c>
      <c r="M538" s="41" t="str">
        <f aca="false">IF($A538="","",$K538-$L538)</f>
        <v/>
      </c>
    </row>
    <row r="539" customFormat="false" ht="15" hidden="false" customHeight="false" outlineLevel="0" collapsed="false">
      <c r="H539" s="8" t="str">
        <f aca="false">IF($A539="","",IFERROR(INDEX(Products!$B$2:$B$50,MATCH($E539,Products!$A$2:$A$50,0)),"Unmapped"))</f>
        <v/>
      </c>
      <c r="I539" s="41" t="str">
        <f aca="false">IF($A539="","",IFERROR(INDEX(Products!$C$2:$C$50,MATCH($E539,Products!$A$2:$A$50,0)),0))</f>
        <v/>
      </c>
      <c r="J539" s="41" t="str">
        <f aca="false">IF($A539="","",IFERROR(INDEX(Products!$D$2:$D$50,MATCH($E539,Products!$A$2:$A$50,0)),0))</f>
        <v/>
      </c>
      <c r="K539" s="41" t="str">
        <f aca="false">IF($A539="","",$F539*$I539*(1-$G539))</f>
        <v/>
      </c>
      <c r="L539" s="41" t="str">
        <f aca="false">IF($A539="","",$F539*$J539)</f>
        <v/>
      </c>
      <c r="M539" s="41" t="str">
        <f aca="false">IF($A539="","",$K539-$L539)</f>
        <v/>
      </c>
    </row>
    <row r="540" customFormat="false" ht="15" hidden="false" customHeight="false" outlineLevel="0" collapsed="false">
      <c r="H540" s="8" t="str">
        <f aca="false">IF($A540="","",IFERROR(INDEX(Products!$B$2:$B$50,MATCH($E540,Products!$A$2:$A$50,0)),"Unmapped"))</f>
        <v/>
      </c>
      <c r="I540" s="41" t="str">
        <f aca="false">IF($A540="","",IFERROR(INDEX(Products!$C$2:$C$50,MATCH($E540,Products!$A$2:$A$50,0)),0))</f>
        <v/>
      </c>
      <c r="J540" s="41" t="str">
        <f aca="false">IF($A540="","",IFERROR(INDEX(Products!$D$2:$D$50,MATCH($E540,Products!$A$2:$A$50,0)),0))</f>
        <v/>
      </c>
      <c r="K540" s="41" t="str">
        <f aca="false">IF($A540="","",$F540*$I540*(1-$G540))</f>
        <v/>
      </c>
      <c r="L540" s="41" t="str">
        <f aca="false">IF($A540="","",$F540*$J540)</f>
        <v/>
      </c>
      <c r="M540" s="41" t="str">
        <f aca="false">IF($A540="","",$K540-$L540)</f>
        <v/>
      </c>
    </row>
    <row r="541" customFormat="false" ht="15" hidden="false" customHeight="false" outlineLevel="0" collapsed="false">
      <c r="H541" s="8" t="str">
        <f aca="false">IF($A541="","",IFERROR(INDEX(Products!$B$2:$B$50,MATCH($E541,Products!$A$2:$A$50,0)),"Unmapped"))</f>
        <v/>
      </c>
      <c r="I541" s="41" t="str">
        <f aca="false">IF($A541="","",IFERROR(INDEX(Products!$C$2:$C$50,MATCH($E541,Products!$A$2:$A$50,0)),0))</f>
        <v/>
      </c>
      <c r="J541" s="41" t="str">
        <f aca="false">IF($A541="","",IFERROR(INDEX(Products!$D$2:$D$50,MATCH($E541,Products!$A$2:$A$50,0)),0))</f>
        <v/>
      </c>
      <c r="K541" s="41" t="str">
        <f aca="false">IF($A541="","",$F541*$I541*(1-$G541))</f>
        <v/>
      </c>
      <c r="L541" s="41" t="str">
        <f aca="false">IF($A541="","",$F541*$J541)</f>
        <v/>
      </c>
      <c r="M541" s="41" t="str">
        <f aca="false">IF($A541="","",$K541-$L541)</f>
        <v/>
      </c>
    </row>
    <row r="542" customFormat="false" ht="15" hidden="false" customHeight="false" outlineLevel="0" collapsed="false">
      <c r="H542" s="8" t="str">
        <f aca="false">IF($A542="","",IFERROR(INDEX(Products!$B$2:$B$50,MATCH($E542,Products!$A$2:$A$50,0)),"Unmapped"))</f>
        <v/>
      </c>
      <c r="I542" s="41" t="str">
        <f aca="false">IF($A542="","",IFERROR(INDEX(Products!$C$2:$C$50,MATCH($E542,Products!$A$2:$A$50,0)),0))</f>
        <v/>
      </c>
      <c r="J542" s="41" t="str">
        <f aca="false">IF($A542="","",IFERROR(INDEX(Products!$D$2:$D$50,MATCH($E542,Products!$A$2:$A$50,0)),0))</f>
        <v/>
      </c>
      <c r="K542" s="41" t="str">
        <f aca="false">IF($A542="","",$F542*$I542*(1-$G542))</f>
        <v/>
      </c>
      <c r="L542" s="41" t="str">
        <f aca="false">IF($A542="","",$F542*$J542)</f>
        <v/>
      </c>
      <c r="M542" s="41" t="str">
        <f aca="false">IF($A542="","",$K542-$L542)</f>
        <v/>
      </c>
    </row>
    <row r="543" customFormat="false" ht="15" hidden="false" customHeight="false" outlineLevel="0" collapsed="false">
      <c r="H543" s="8" t="str">
        <f aca="false">IF($A543="","",IFERROR(INDEX(Products!$B$2:$B$50,MATCH($E543,Products!$A$2:$A$50,0)),"Unmapped"))</f>
        <v/>
      </c>
      <c r="I543" s="41" t="str">
        <f aca="false">IF($A543="","",IFERROR(INDEX(Products!$C$2:$C$50,MATCH($E543,Products!$A$2:$A$50,0)),0))</f>
        <v/>
      </c>
      <c r="J543" s="41" t="str">
        <f aca="false">IF($A543="","",IFERROR(INDEX(Products!$D$2:$D$50,MATCH($E543,Products!$A$2:$A$50,0)),0))</f>
        <v/>
      </c>
      <c r="K543" s="41" t="str">
        <f aca="false">IF($A543="","",$F543*$I543*(1-$G543))</f>
        <v/>
      </c>
      <c r="L543" s="41" t="str">
        <f aca="false">IF($A543="","",$F543*$J543)</f>
        <v/>
      </c>
      <c r="M543" s="41" t="str">
        <f aca="false">IF($A543="","",$K543-$L543)</f>
        <v/>
      </c>
    </row>
    <row r="544" customFormat="false" ht="15" hidden="false" customHeight="false" outlineLevel="0" collapsed="false">
      <c r="H544" s="8" t="str">
        <f aca="false">IF($A544="","",IFERROR(INDEX(Products!$B$2:$B$50,MATCH($E544,Products!$A$2:$A$50,0)),"Unmapped"))</f>
        <v/>
      </c>
      <c r="I544" s="41" t="str">
        <f aca="false">IF($A544="","",IFERROR(INDEX(Products!$C$2:$C$50,MATCH($E544,Products!$A$2:$A$50,0)),0))</f>
        <v/>
      </c>
      <c r="J544" s="41" t="str">
        <f aca="false">IF($A544="","",IFERROR(INDEX(Products!$D$2:$D$50,MATCH($E544,Products!$A$2:$A$50,0)),0))</f>
        <v/>
      </c>
      <c r="K544" s="41" t="str">
        <f aca="false">IF($A544="","",$F544*$I544*(1-$G544))</f>
        <v/>
      </c>
      <c r="L544" s="41" t="str">
        <f aca="false">IF($A544="","",$F544*$J544)</f>
        <v/>
      </c>
      <c r="M544" s="41" t="str">
        <f aca="false">IF($A544="","",$K544-$L544)</f>
        <v/>
      </c>
    </row>
    <row r="545" customFormat="false" ht="15" hidden="false" customHeight="false" outlineLevel="0" collapsed="false">
      <c r="H545" s="8" t="str">
        <f aca="false">IF($A545="","",IFERROR(INDEX(Products!$B$2:$B$50,MATCH($E545,Products!$A$2:$A$50,0)),"Unmapped"))</f>
        <v/>
      </c>
      <c r="I545" s="41" t="str">
        <f aca="false">IF($A545="","",IFERROR(INDEX(Products!$C$2:$C$50,MATCH($E545,Products!$A$2:$A$50,0)),0))</f>
        <v/>
      </c>
      <c r="J545" s="41" t="str">
        <f aca="false">IF($A545="","",IFERROR(INDEX(Products!$D$2:$D$50,MATCH($E545,Products!$A$2:$A$50,0)),0))</f>
        <v/>
      </c>
      <c r="K545" s="41" t="str">
        <f aca="false">IF($A545="","",$F545*$I545*(1-$G545))</f>
        <v/>
      </c>
      <c r="L545" s="41" t="str">
        <f aca="false">IF($A545="","",$F545*$J545)</f>
        <v/>
      </c>
      <c r="M545" s="41" t="str">
        <f aca="false">IF($A545="","",$K545-$L545)</f>
        <v/>
      </c>
    </row>
    <row r="546" customFormat="false" ht="15" hidden="false" customHeight="false" outlineLevel="0" collapsed="false">
      <c r="H546" s="8" t="str">
        <f aca="false">IF($A546="","",IFERROR(INDEX(Products!$B$2:$B$50,MATCH($E546,Products!$A$2:$A$50,0)),"Unmapped"))</f>
        <v/>
      </c>
      <c r="I546" s="41" t="str">
        <f aca="false">IF($A546="","",IFERROR(INDEX(Products!$C$2:$C$50,MATCH($E546,Products!$A$2:$A$50,0)),0))</f>
        <v/>
      </c>
      <c r="J546" s="41" t="str">
        <f aca="false">IF($A546="","",IFERROR(INDEX(Products!$D$2:$D$50,MATCH($E546,Products!$A$2:$A$50,0)),0))</f>
        <v/>
      </c>
      <c r="K546" s="41" t="str">
        <f aca="false">IF($A546="","",$F546*$I546*(1-$G546))</f>
        <v/>
      </c>
      <c r="L546" s="41" t="str">
        <f aca="false">IF($A546="","",$F546*$J546)</f>
        <v/>
      </c>
      <c r="M546" s="41" t="str">
        <f aca="false">IF($A546="","",$K546-$L546)</f>
        <v/>
      </c>
    </row>
    <row r="547" customFormat="false" ht="15" hidden="false" customHeight="false" outlineLevel="0" collapsed="false">
      <c r="H547" s="8" t="str">
        <f aca="false">IF($A547="","",IFERROR(INDEX(Products!$B$2:$B$50,MATCH($E547,Products!$A$2:$A$50,0)),"Unmapped"))</f>
        <v/>
      </c>
      <c r="I547" s="41" t="str">
        <f aca="false">IF($A547="","",IFERROR(INDEX(Products!$C$2:$C$50,MATCH($E547,Products!$A$2:$A$50,0)),0))</f>
        <v/>
      </c>
      <c r="J547" s="41" t="str">
        <f aca="false">IF($A547="","",IFERROR(INDEX(Products!$D$2:$D$50,MATCH($E547,Products!$A$2:$A$50,0)),0))</f>
        <v/>
      </c>
      <c r="K547" s="41" t="str">
        <f aca="false">IF($A547="","",$F547*$I547*(1-$G547))</f>
        <v/>
      </c>
      <c r="L547" s="41" t="str">
        <f aca="false">IF($A547="","",$F547*$J547)</f>
        <v/>
      </c>
      <c r="M547" s="41" t="str">
        <f aca="false">IF($A547="","",$K547-$L547)</f>
        <v/>
      </c>
    </row>
    <row r="548" customFormat="false" ht="15" hidden="false" customHeight="false" outlineLevel="0" collapsed="false">
      <c r="H548" s="8" t="str">
        <f aca="false">IF($A548="","",IFERROR(INDEX(Products!$B$2:$B$50,MATCH($E548,Products!$A$2:$A$50,0)),"Unmapped"))</f>
        <v/>
      </c>
      <c r="I548" s="41" t="str">
        <f aca="false">IF($A548="","",IFERROR(INDEX(Products!$C$2:$C$50,MATCH($E548,Products!$A$2:$A$50,0)),0))</f>
        <v/>
      </c>
      <c r="J548" s="41" t="str">
        <f aca="false">IF($A548="","",IFERROR(INDEX(Products!$D$2:$D$50,MATCH($E548,Products!$A$2:$A$50,0)),0))</f>
        <v/>
      </c>
      <c r="K548" s="41" t="str">
        <f aca="false">IF($A548="","",$F548*$I548*(1-$G548))</f>
        <v/>
      </c>
      <c r="L548" s="41" t="str">
        <f aca="false">IF($A548="","",$F548*$J548)</f>
        <v/>
      </c>
      <c r="M548" s="41" t="str">
        <f aca="false">IF($A548="","",$K548-$L548)</f>
        <v/>
      </c>
    </row>
    <row r="549" customFormat="false" ht="15" hidden="false" customHeight="false" outlineLevel="0" collapsed="false">
      <c r="H549" s="8" t="str">
        <f aca="false">IF($A549="","",IFERROR(INDEX(Products!$B$2:$B$50,MATCH($E549,Products!$A$2:$A$50,0)),"Unmapped"))</f>
        <v/>
      </c>
      <c r="I549" s="41" t="str">
        <f aca="false">IF($A549="","",IFERROR(INDEX(Products!$C$2:$C$50,MATCH($E549,Products!$A$2:$A$50,0)),0))</f>
        <v/>
      </c>
      <c r="J549" s="41" t="str">
        <f aca="false">IF($A549="","",IFERROR(INDEX(Products!$D$2:$D$50,MATCH($E549,Products!$A$2:$A$50,0)),0))</f>
        <v/>
      </c>
      <c r="K549" s="41" t="str">
        <f aca="false">IF($A549="","",$F549*$I549*(1-$G549))</f>
        <v/>
      </c>
      <c r="L549" s="41" t="str">
        <f aca="false">IF($A549="","",$F549*$J549)</f>
        <v/>
      </c>
      <c r="M549" s="41" t="str">
        <f aca="false">IF($A549="","",$K549-$L549)</f>
        <v/>
      </c>
    </row>
    <row r="550" customFormat="false" ht="15" hidden="false" customHeight="false" outlineLevel="0" collapsed="false">
      <c r="H550" s="8" t="str">
        <f aca="false">IF($A550="","",IFERROR(INDEX(Products!$B$2:$B$50,MATCH($E550,Products!$A$2:$A$50,0)),"Unmapped"))</f>
        <v/>
      </c>
      <c r="I550" s="41" t="str">
        <f aca="false">IF($A550="","",IFERROR(INDEX(Products!$C$2:$C$50,MATCH($E550,Products!$A$2:$A$50,0)),0))</f>
        <v/>
      </c>
      <c r="J550" s="41" t="str">
        <f aca="false">IF($A550="","",IFERROR(INDEX(Products!$D$2:$D$50,MATCH($E550,Products!$A$2:$A$50,0)),0))</f>
        <v/>
      </c>
      <c r="K550" s="41" t="str">
        <f aca="false">IF($A550="","",$F550*$I550*(1-$G550))</f>
        <v/>
      </c>
      <c r="L550" s="41" t="str">
        <f aca="false">IF($A550="","",$F550*$J550)</f>
        <v/>
      </c>
      <c r="M550" s="41" t="str">
        <f aca="false">IF($A550="","",$K550-$L550)</f>
        <v/>
      </c>
    </row>
    <row r="551" customFormat="false" ht="15" hidden="false" customHeight="false" outlineLevel="0" collapsed="false">
      <c r="H551" s="8" t="str">
        <f aca="false">IF($A551="","",IFERROR(INDEX(Products!$B$2:$B$50,MATCH($E551,Products!$A$2:$A$50,0)),"Unmapped"))</f>
        <v/>
      </c>
      <c r="I551" s="41" t="str">
        <f aca="false">IF($A551="","",IFERROR(INDEX(Products!$C$2:$C$50,MATCH($E551,Products!$A$2:$A$50,0)),0))</f>
        <v/>
      </c>
      <c r="J551" s="41" t="str">
        <f aca="false">IF($A551="","",IFERROR(INDEX(Products!$D$2:$D$50,MATCH($E551,Products!$A$2:$A$50,0)),0))</f>
        <v/>
      </c>
      <c r="K551" s="41" t="str">
        <f aca="false">IF($A551="","",$F551*$I551*(1-$G551))</f>
        <v/>
      </c>
      <c r="L551" s="41" t="str">
        <f aca="false">IF($A551="","",$F551*$J551)</f>
        <v/>
      </c>
      <c r="M551" s="41" t="str">
        <f aca="false">IF($A551="","",$K551-$L551)</f>
        <v/>
      </c>
    </row>
    <row r="552" customFormat="false" ht="15" hidden="false" customHeight="false" outlineLevel="0" collapsed="false">
      <c r="H552" s="8" t="str">
        <f aca="false">IF($A552="","",IFERROR(INDEX(Products!$B$2:$B$50,MATCH($E552,Products!$A$2:$A$50,0)),"Unmapped"))</f>
        <v/>
      </c>
      <c r="I552" s="41" t="str">
        <f aca="false">IF($A552="","",IFERROR(INDEX(Products!$C$2:$C$50,MATCH($E552,Products!$A$2:$A$50,0)),0))</f>
        <v/>
      </c>
      <c r="J552" s="41" t="str">
        <f aca="false">IF($A552="","",IFERROR(INDEX(Products!$D$2:$D$50,MATCH($E552,Products!$A$2:$A$50,0)),0))</f>
        <v/>
      </c>
      <c r="K552" s="41" t="str">
        <f aca="false">IF($A552="","",$F552*$I552*(1-$G552))</f>
        <v/>
      </c>
      <c r="L552" s="41" t="str">
        <f aca="false">IF($A552="","",$F552*$J552)</f>
        <v/>
      </c>
      <c r="M552" s="41" t="str">
        <f aca="false">IF($A552="","",$K552-$L552)</f>
        <v/>
      </c>
    </row>
    <row r="553" customFormat="false" ht="15" hidden="false" customHeight="false" outlineLevel="0" collapsed="false">
      <c r="H553" s="8" t="str">
        <f aca="false">IF($A553="","",IFERROR(INDEX(Products!$B$2:$B$50,MATCH($E553,Products!$A$2:$A$50,0)),"Unmapped"))</f>
        <v/>
      </c>
      <c r="I553" s="41" t="str">
        <f aca="false">IF($A553="","",IFERROR(INDEX(Products!$C$2:$C$50,MATCH($E553,Products!$A$2:$A$50,0)),0))</f>
        <v/>
      </c>
      <c r="J553" s="41" t="str">
        <f aca="false">IF($A553="","",IFERROR(INDEX(Products!$D$2:$D$50,MATCH($E553,Products!$A$2:$A$50,0)),0))</f>
        <v/>
      </c>
      <c r="K553" s="41" t="str">
        <f aca="false">IF($A553="","",$F553*$I553*(1-$G553))</f>
        <v/>
      </c>
      <c r="L553" s="41" t="str">
        <f aca="false">IF($A553="","",$F553*$J553)</f>
        <v/>
      </c>
      <c r="M553" s="41" t="str">
        <f aca="false">IF($A553="","",$K553-$L553)</f>
        <v/>
      </c>
    </row>
    <row r="554" customFormat="false" ht="15" hidden="false" customHeight="false" outlineLevel="0" collapsed="false">
      <c r="H554" s="8" t="str">
        <f aca="false">IF($A554="","",IFERROR(INDEX(Products!$B$2:$B$50,MATCH($E554,Products!$A$2:$A$50,0)),"Unmapped"))</f>
        <v/>
      </c>
      <c r="I554" s="41" t="str">
        <f aca="false">IF($A554="","",IFERROR(INDEX(Products!$C$2:$C$50,MATCH($E554,Products!$A$2:$A$50,0)),0))</f>
        <v/>
      </c>
      <c r="J554" s="41" t="str">
        <f aca="false">IF($A554="","",IFERROR(INDEX(Products!$D$2:$D$50,MATCH($E554,Products!$A$2:$A$50,0)),0))</f>
        <v/>
      </c>
      <c r="K554" s="41" t="str">
        <f aca="false">IF($A554="","",$F554*$I554*(1-$G554))</f>
        <v/>
      </c>
      <c r="L554" s="41" t="str">
        <f aca="false">IF($A554="","",$F554*$J554)</f>
        <v/>
      </c>
      <c r="M554" s="41" t="str">
        <f aca="false">IF($A554="","",$K554-$L554)</f>
        <v/>
      </c>
    </row>
    <row r="555" customFormat="false" ht="15" hidden="false" customHeight="false" outlineLevel="0" collapsed="false">
      <c r="H555" s="8" t="str">
        <f aca="false">IF($A555="","",IFERROR(INDEX(Products!$B$2:$B$50,MATCH($E555,Products!$A$2:$A$50,0)),"Unmapped"))</f>
        <v/>
      </c>
      <c r="I555" s="41" t="str">
        <f aca="false">IF($A555="","",IFERROR(INDEX(Products!$C$2:$C$50,MATCH($E555,Products!$A$2:$A$50,0)),0))</f>
        <v/>
      </c>
      <c r="J555" s="41" t="str">
        <f aca="false">IF($A555="","",IFERROR(INDEX(Products!$D$2:$D$50,MATCH($E555,Products!$A$2:$A$50,0)),0))</f>
        <v/>
      </c>
      <c r="K555" s="41" t="str">
        <f aca="false">IF($A555="","",$F555*$I555*(1-$G555))</f>
        <v/>
      </c>
      <c r="L555" s="41" t="str">
        <f aca="false">IF($A555="","",$F555*$J555)</f>
        <v/>
      </c>
      <c r="M555" s="41" t="str">
        <f aca="false">IF($A555="","",$K555-$L555)</f>
        <v/>
      </c>
    </row>
    <row r="556" customFormat="false" ht="15" hidden="false" customHeight="false" outlineLevel="0" collapsed="false">
      <c r="H556" s="8" t="str">
        <f aca="false">IF($A556="","",IFERROR(INDEX(Products!$B$2:$B$50,MATCH($E556,Products!$A$2:$A$50,0)),"Unmapped"))</f>
        <v/>
      </c>
      <c r="I556" s="41" t="str">
        <f aca="false">IF($A556="","",IFERROR(INDEX(Products!$C$2:$C$50,MATCH($E556,Products!$A$2:$A$50,0)),0))</f>
        <v/>
      </c>
      <c r="J556" s="41" t="str">
        <f aca="false">IF($A556="","",IFERROR(INDEX(Products!$D$2:$D$50,MATCH($E556,Products!$A$2:$A$50,0)),0))</f>
        <v/>
      </c>
      <c r="K556" s="41" t="str">
        <f aca="false">IF($A556="","",$F556*$I556*(1-$G556))</f>
        <v/>
      </c>
      <c r="L556" s="41" t="str">
        <f aca="false">IF($A556="","",$F556*$J556)</f>
        <v/>
      </c>
      <c r="M556" s="41" t="str">
        <f aca="false">IF($A556="","",$K556-$L556)</f>
        <v/>
      </c>
    </row>
    <row r="557" customFormat="false" ht="15" hidden="false" customHeight="false" outlineLevel="0" collapsed="false">
      <c r="H557" s="8" t="str">
        <f aca="false">IF($A557="","",IFERROR(INDEX(Products!$B$2:$B$50,MATCH($E557,Products!$A$2:$A$50,0)),"Unmapped"))</f>
        <v/>
      </c>
      <c r="I557" s="41" t="str">
        <f aca="false">IF($A557="","",IFERROR(INDEX(Products!$C$2:$C$50,MATCH($E557,Products!$A$2:$A$50,0)),0))</f>
        <v/>
      </c>
      <c r="J557" s="41" t="str">
        <f aca="false">IF($A557="","",IFERROR(INDEX(Products!$D$2:$D$50,MATCH($E557,Products!$A$2:$A$50,0)),0))</f>
        <v/>
      </c>
      <c r="K557" s="41" t="str">
        <f aca="false">IF($A557="","",$F557*$I557*(1-$G557))</f>
        <v/>
      </c>
      <c r="L557" s="41" t="str">
        <f aca="false">IF($A557="","",$F557*$J557)</f>
        <v/>
      </c>
      <c r="M557" s="41" t="str">
        <f aca="false">IF($A557="","",$K557-$L557)</f>
        <v/>
      </c>
    </row>
    <row r="558" customFormat="false" ht="15" hidden="false" customHeight="false" outlineLevel="0" collapsed="false">
      <c r="H558" s="8" t="str">
        <f aca="false">IF($A558="","",IFERROR(INDEX(Products!$B$2:$B$50,MATCH($E558,Products!$A$2:$A$50,0)),"Unmapped"))</f>
        <v/>
      </c>
      <c r="I558" s="41" t="str">
        <f aca="false">IF($A558="","",IFERROR(INDEX(Products!$C$2:$C$50,MATCH($E558,Products!$A$2:$A$50,0)),0))</f>
        <v/>
      </c>
      <c r="J558" s="41" t="str">
        <f aca="false">IF($A558="","",IFERROR(INDEX(Products!$D$2:$D$50,MATCH($E558,Products!$A$2:$A$50,0)),0))</f>
        <v/>
      </c>
      <c r="K558" s="41" t="str">
        <f aca="false">IF($A558="","",$F558*$I558*(1-$G558))</f>
        <v/>
      </c>
      <c r="L558" s="41" t="str">
        <f aca="false">IF($A558="","",$F558*$J558)</f>
        <v/>
      </c>
      <c r="M558" s="41" t="str">
        <f aca="false">IF($A558="","",$K558-$L558)</f>
        <v/>
      </c>
    </row>
    <row r="559" customFormat="false" ht="15" hidden="false" customHeight="false" outlineLevel="0" collapsed="false">
      <c r="H559" s="8" t="str">
        <f aca="false">IF($A559="","",IFERROR(INDEX(Products!$B$2:$B$50,MATCH($E559,Products!$A$2:$A$50,0)),"Unmapped"))</f>
        <v/>
      </c>
      <c r="I559" s="41" t="str">
        <f aca="false">IF($A559="","",IFERROR(INDEX(Products!$C$2:$C$50,MATCH($E559,Products!$A$2:$A$50,0)),0))</f>
        <v/>
      </c>
      <c r="J559" s="41" t="str">
        <f aca="false">IF($A559="","",IFERROR(INDEX(Products!$D$2:$D$50,MATCH($E559,Products!$A$2:$A$50,0)),0))</f>
        <v/>
      </c>
      <c r="K559" s="41" t="str">
        <f aca="false">IF($A559="","",$F559*$I559*(1-$G559))</f>
        <v/>
      </c>
      <c r="L559" s="41" t="str">
        <f aca="false">IF($A559="","",$F559*$J559)</f>
        <v/>
      </c>
      <c r="M559" s="41" t="str">
        <f aca="false">IF($A559="","",$K559-$L559)</f>
        <v/>
      </c>
    </row>
    <row r="560" customFormat="false" ht="15" hidden="false" customHeight="false" outlineLevel="0" collapsed="false">
      <c r="H560" s="8" t="str">
        <f aca="false">IF($A560="","",IFERROR(INDEX(Products!$B$2:$B$50,MATCH($E560,Products!$A$2:$A$50,0)),"Unmapped"))</f>
        <v/>
      </c>
      <c r="I560" s="41" t="str">
        <f aca="false">IF($A560="","",IFERROR(INDEX(Products!$C$2:$C$50,MATCH($E560,Products!$A$2:$A$50,0)),0))</f>
        <v/>
      </c>
      <c r="J560" s="41" t="str">
        <f aca="false">IF($A560="","",IFERROR(INDEX(Products!$D$2:$D$50,MATCH($E560,Products!$A$2:$A$50,0)),0))</f>
        <v/>
      </c>
      <c r="K560" s="41" t="str">
        <f aca="false">IF($A560="","",$F560*$I560*(1-$G560))</f>
        <v/>
      </c>
      <c r="L560" s="41" t="str">
        <f aca="false">IF($A560="","",$F560*$J560)</f>
        <v/>
      </c>
      <c r="M560" s="41" t="str">
        <f aca="false">IF($A560="","",$K560-$L560)</f>
        <v/>
      </c>
    </row>
    <row r="561" customFormat="false" ht="15" hidden="false" customHeight="false" outlineLevel="0" collapsed="false">
      <c r="H561" s="8" t="str">
        <f aca="false">IF($A561="","",IFERROR(INDEX(Products!$B$2:$B$50,MATCH($E561,Products!$A$2:$A$50,0)),"Unmapped"))</f>
        <v/>
      </c>
      <c r="I561" s="41" t="str">
        <f aca="false">IF($A561="","",IFERROR(INDEX(Products!$C$2:$C$50,MATCH($E561,Products!$A$2:$A$50,0)),0))</f>
        <v/>
      </c>
      <c r="J561" s="41" t="str">
        <f aca="false">IF($A561="","",IFERROR(INDEX(Products!$D$2:$D$50,MATCH($E561,Products!$A$2:$A$50,0)),0))</f>
        <v/>
      </c>
      <c r="K561" s="41" t="str">
        <f aca="false">IF($A561="","",$F561*$I561*(1-$G561))</f>
        <v/>
      </c>
      <c r="L561" s="41" t="str">
        <f aca="false">IF($A561="","",$F561*$J561)</f>
        <v/>
      </c>
      <c r="M561" s="41" t="str">
        <f aca="false">IF($A561="","",$K561-$L561)</f>
        <v/>
      </c>
    </row>
    <row r="562" customFormat="false" ht="15" hidden="false" customHeight="false" outlineLevel="0" collapsed="false">
      <c r="H562" s="8" t="str">
        <f aca="false">IF($A562="","",IFERROR(INDEX(Products!$B$2:$B$50,MATCH($E562,Products!$A$2:$A$50,0)),"Unmapped"))</f>
        <v/>
      </c>
      <c r="I562" s="41" t="str">
        <f aca="false">IF($A562="","",IFERROR(INDEX(Products!$C$2:$C$50,MATCH($E562,Products!$A$2:$A$50,0)),0))</f>
        <v/>
      </c>
      <c r="J562" s="41" t="str">
        <f aca="false">IF($A562="","",IFERROR(INDEX(Products!$D$2:$D$50,MATCH($E562,Products!$A$2:$A$50,0)),0))</f>
        <v/>
      </c>
      <c r="K562" s="41" t="str">
        <f aca="false">IF($A562="","",$F562*$I562*(1-$G562))</f>
        <v/>
      </c>
      <c r="L562" s="41" t="str">
        <f aca="false">IF($A562="","",$F562*$J562)</f>
        <v/>
      </c>
      <c r="M562" s="41" t="str">
        <f aca="false">IF($A562="","",$K562-$L562)</f>
        <v/>
      </c>
    </row>
    <row r="563" customFormat="false" ht="15" hidden="false" customHeight="false" outlineLevel="0" collapsed="false">
      <c r="H563" s="8" t="str">
        <f aca="false">IF($A563="","",IFERROR(INDEX(Products!$B$2:$B$50,MATCH($E563,Products!$A$2:$A$50,0)),"Unmapped"))</f>
        <v/>
      </c>
      <c r="I563" s="41" t="str">
        <f aca="false">IF($A563="","",IFERROR(INDEX(Products!$C$2:$C$50,MATCH($E563,Products!$A$2:$A$50,0)),0))</f>
        <v/>
      </c>
      <c r="J563" s="41" t="str">
        <f aca="false">IF($A563="","",IFERROR(INDEX(Products!$D$2:$D$50,MATCH($E563,Products!$A$2:$A$50,0)),0))</f>
        <v/>
      </c>
      <c r="K563" s="41" t="str">
        <f aca="false">IF($A563="","",$F563*$I563*(1-$G563))</f>
        <v/>
      </c>
      <c r="L563" s="41" t="str">
        <f aca="false">IF($A563="","",$F563*$J563)</f>
        <v/>
      </c>
      <c r="M563" s="41" t="str">
        <f aca="false">IF($A563="","",$K563-$L563)</f>
        <v/>
      </c>
    </row>
    <row r="564" customFormat="false" ht="15" hidden="false" customHeight="false" outlineLevel="0" collapsed="false">
      <c r="H564" s="8" t="str">
        <f aca="false">IF($A564="","",IFERROR(INDEX(Products!$B$2:$B$50,MATCH($E564,Products!$A$2:$A$50,0)),"Unmapped"))</f>
        <v/>
      </c>
      <c r="I564" s="41" t="str">
        <f aca="false">IF($A564="","",IFERROR(INDEX(Products!$C$2:$C$50,MATCH($E564,Products!$A$2:$A$50,0)),0))</f>
        <v/>
      </c>
      <c r="J564" s="41" t="str">
        <f aca="false">IF($A564="","",IFERROR(INDEX(Products!$D$2:$D$50,MATCH($E564,Products!$A$2:$A$50,0)),0))</f>
        <v/>
      </c>
      <c r="K564" s="41" t="str">
        <f aca="false">IF($A564="","",$F564*$I564*(1-$G564))</f>
        <v/>
      </c>
      <c r="L564" s="41" t="str">
        <f aca="false">IF($A564="","",$F564*$J564)</f>
        <v/>
      </c>
      <c r="M564" s="41" t="str">
        <f aca="false">IF($A564="","",$K564-$L564)</f>
        <v/>
      </c>
    </row>
    <row r="565" customFormat="false" ht="15" hidden="false" customHeight="false" outlineLevel="0" collapsed="false">
      <c r="H565" s="8" t="str">
        <f aca="false">IF($A565="","",IFERROR(INDEX(Products!$B$2:$B$50,MATCH($E565,Products!$A$2:$A$50,0)),"Unmapped"))</f>
        <v/>
      </c>
      <c r="I565" s="41" t="str">
        <f aca="false">IF($A565="","",IFERROR(INDEX(Products!$C$2:$C$50,MATCH($E565,Products!$A$2:$A$50,0)),0))</f>
        <v/>
      </c>
      <c r="J565" s="41" t="str">
        <f aca="false">IF($A565="","",IFERROR(INDEX(Products!$D$2:$D$50,MATCH($E565,Products!$A$2:$A$50,0)),0))</f>
        <v/>
      </c>
      <c r="K565" s="41" t="str">
        <f aca="false">IF($A565="","",$F565*$I565*(1-$G565))</f>
        <v/>
      </c>
      <c r="L565" s="41" t="str">
        <f aca="false">IF($A565="","",$F565*$J565)</f>
        <v/>
      </c>
      <c r="M565" s="41" t="str">
        <f aca="false">IF($A565="","",$K565-$L565)</f>
        <v/>
      </c>
    </row>
    <row r="566" customFormat="false" ht="15" hidden="false" customHeight="false" outlineLevel="0" collapsed="false">
      <c r="H566" s="8" t="str">
        <f aca="false">IF($A566="","",IFERROR(INDEX(Products!$B$2:$B$50,MATCH($E566,Products!$A$2:$A$50,0)),"Unmapped"))</f>
        <v/>
      </c>
      <c r="I566" s="41" t="str">
        <f aca="false">IF($A566="","",IFERROR(INDEX(Products!$C$2:$C$50,MATCH($E566,Products!$A$2:$A$50,0)),0))</f>
        <v/>
      </c>
      <c r="J566" s="41" t="str">
        <f aca="false">IF($A566="","",IFERROR(INDEX(Products!$D$2:$D$50,MATCH($E566,Products!$A$2:$A$50,0)),0))</f>
        <v/>
      </c>
      <c r="K566" s="41" t="str">
        <f aca="false">IF($A566="","",$F566*$I566*(1-$G566))</f>
        <v/>
      </c>
      <c r="L566" s="41" t="str">
        <f aca="false">IF($A566="","",$F566*$J566)</f>
        <v/>
      </c>
      <c r="M566" s="41" t="str">
        <f aca="false">IF($A566="","",$K566-$L566)</f>
        <v/>
      </c>
    </row>
    <row r="567" customFormat="false" ht="15" hidden="false" customHeight="false" outlineLevel="0" collapsed="false">
      <c r="H567" s="8" t="str">
        <f aca="false">IF($A567="","",IFERROR(INDEX(Products!$B$2:$B$50,MATCH($E567,Products!$A$2:$A$50,0)),"Unmapped"))</f>
        <v/>
      </c>
      <c r="I567" s="41" t="str">
        <f aca="false">IF($A567="","",IFERROR(INDEX(Products!$C$2:$C$50,MATCH($E567,Products!$A$2:$A$50,0)),0))</f>
        <v/>
      </c>
      <c r="J567" s="41" t="str">
        <f aca="false">IF($A567="","",IFERROR(INDEX(Products!$D$2:$D$50,MATCH($E567,Products!$A$2:$A$50,0)),0))</f>
        <v/>
      </c>
      <c r="K567" s="41" t="str">
        <f aca="false">IF($A567="","",$F567*$I567*(1-$G567))</f>
        <v/>
      </c>
      <c r="L567" s="41" t="str">
        <f aca="false">IF($A567="","",$F567*$J567)</f>
        <v/>
      </c>
      <c r="M567" s="41" t="str">
        <f aca="false">IF($A567="","",$K567-$L567)</f>
        <v/>
      </c>
    </row>
    <row r="568" customFormat="false" ht="15" hidden="false" customHeight="false" outlineLevel="0" collapsed="false">
      <c r="H568" s="8" t="str">
        <f aca="false">IF($A568="","",IFERROR(INDEX(Products!$B$2:$B$50,MATCH($E568,Products!$A$2:$A$50,0)),"Unmapped"))</f>
        <v/>
      </c>
      <c r="I568" s="41" t="str">
        <f aca="false">IF($A568="","",IFERROR(INDEX(Products!$C$2:$C$50,MATCH($E568,Products!$A$2:$A$50,0)),0))</f>
        <v/>
      </c>
      <c r="J568" s="41" t="str">
        <f aca="false">IF($A568="","",IFERROR(INDEX(Products!$D$2:$D$50,MATCH($E568,Products!$A$2:$A$50,0)),0))</f>
        <v/>
      </c>
      <c r="K568" s="41" t="str">
        <f aca="false">IF($A568="","",$F568*$I568*(1-$G568))</f>
        <v/>
      </c>
      <c r="L568" s="41" t="str">
        <f aca="false">IF($A568="","",$F568*$J568)</f>
        <v/>
      </c>
      <c r="M568" s="41" t="str">
        <f aca="false">IF($A568="","",$K568-$L568)</f>
        <v/>
      </c>
    </row>
    <row r="569" customFormat="false" ht="15" hidden="false" customHeight="false" outlineLevel="0" collapsed="false">
      <c r="H569" s="8" t="str">
        <f aca="false">IF($A569="","",IFERROR(INDEX(Products!$B$2:$B$50,MATCH($E569,Products!$A$2:$A$50,0)),"Unmapped"))</f>
        <v/>
      </c>
      <c r="I569" s="41" t="str">
        <f aca="false">IF($A569="","",IFERROR(INDEX(Products!$C$2:$C$50,MATCH($E569,Products!$A$2:$A$50,0)),0))</f>
        <v/>
      </c>
      <c r="J569" s="41" t="str">
        <f aca="false">IF($A569="","",IFERROR(INDEX(Products!$D$2:$D$50,MATCH($E569,Products!$A$2:$A$50,0)),0))</f>
        <v/>
      </c>
      <c r="K569" s="41" t="str">
        <f aca="false">IF($A569="","",$F569*$I569*(1-$G569))</f>
        <v/>
      </c>
      <c r="L569" s="41" t="str">
        <f aca="false">IF($A569="","",$F569*$J569)</f>
        <v/>
      </c>
      <c r="M569" s="41" t="str">
        <f aca="false">IF($A569="","",$K569-$L569)</f>
        <v/>
      </c>
    </row>
    <row r="570" customFormat="false" ht="15" hidden="false" customHeight="false" outlineLevel="0" collapsed="false">
      <c r="H570" s="8" t="str">
        <f aca="false">IF($A570="","",IFERROR(INDEX(Products!$B$2:$B$50,MATCH($E570,Products!$A$2:$A$50,0)),"Unmapped"))</f>
        <v/>
      </c>
      <c r="I570" s="41" t="str">
        <f aca="false">IF($A570="","",IFERROR(INDEX(Products!$C$2:$C$50,MATCH($E570,Products!$A$2:$A$50,0)),0))</f>
        <v/>
      </c>
      <c r="J570" s="41" t="str">
        <f aca="false">IF($A570="","",IFERROR(INDEX(Products!$D$2:$D$50,MATCH($E570,Products!$A$2:$A$50,0)),0))</f>
        <v/>
      </c>
      <c r="K570" s="41" t="str">
        <f aca="false">IF($A570="","",$F570*$I570*(1-$G570))</f>
        <v/>
      </c>
      <c r="L570" s="41" t="str">
        <f aca="false">IF($A570="","",$F570*$J570)</f>
        <v/>
      </c>
      <c r="M570" s="41" t="str">
        <f aca="false">IF($A570="","",$K570-$L570)</f>
        <v/>
      </c>
    </row>
    <row r="571" customFormat="false" ht="15" hidden="false" customHeight="false" outlineLevel="0" collapsed="false">
      <c r="H571" s="8" t="str">
        <f aca="false">IF($A571="","",IFERROR(INDEX(Products!$B$2:$B$50,MATCH($E571,Products!$A$2:$A$50,0)),"Unmapped"))</f>
        <v/>
      </c>
      <c r="I571" s="41" t="str">
        <f aca="false">IF($A571="","",IFERROR(INDEX(Products!$C$2:$C$50,MATCH($E571,Products!$A$2:$A$50,0)),0))</f>
        <v/>
      </c>
      <c r="J571" s="41" t="str">
        <f aca="false">IF($A571="","",IFERROR(INDEX(Products!$D$2:$D$50,MATCH($E571,Products!$A$2:$A$50,0)),0))</f>
        <v/>
      </c>
      <c r="K571" s="41" t="str">
        <f aca="false">IF($A571="","",$F571*$I571*(1-$G571))</f>
        <v/>
      </c>
      <c r="L571" s="41" t="str">
        <f aca="false">IF($A571="","",$F571*$J571)</f>
        <v/>
      </c>
      <c r="M571" s="41" t="str">
        <f aca="false">IF($A571="","",$K571-$L571)</f>
        <v/>
      </c>
    </row>
    <row r="572" customFormat="false" ht="15" hidden="false" customHeight="false" outlineLevel="0" collapsed="false">
      <c r="H572" s="8" t="str">
        <f aca="false">IF($A572="","",IFERROR(INDEX(Products!$B$2:$B$50,MATCH($E572,Products!$A$2:$A$50,0)),"Unmapped"))</f>
        <v/>
      </c>
      <c r="I572" s="41" t="str">
        <f aca="false">IF($A572="","",IFERROR(INDEX(Products!$C$2:$C$50,MATCH($E572,Products!$A$2:$A$50,0)),0))</f>
        <v/>
      </c>
      <c r="J572" s="41" t="str">
        <f aca="false">IF($A572="","",IFERROR(INDEX(Products!$D$2:$D$50,MATCH($E572,Products!$A$2:$A$50,0)),0))</f>
        <v/>
      </c>
      <c r="K572" s="41" t="str">
        <f aca="false">IF($A572="","",$F572*$I572*(1-$G572))</f>
        <v/>
      </c>
      <c r="L572" s="41" t="str">
        <f aca="false">IF($A572="","",$F572*$J572)</f>
        <v/>
      </c>
      <c r="M572" s="41" t="str">
        <f aca="false">IF($A572="","",$K572-$L572)</f>
        <v/>
      </c>
    </row>
    <row r="573" customFormat="false" ht="15" hidden="false" customHeight="false" outlineLevel="0" collapsed="false">
      <c r="H573" s="8" t="str">
        <f aca="false">IF($A573="","",IFERROR(INDEX(Products!$B$2:$B$50,MATCH($E573,Products!$A$2:$A$50,0)),"Unmapped"))</f>
        <v/>
      </c>
      <c r="I573" s="41" t="str">
        <f aca="false">IF($A573="","",IFERROR(INDEX(Products!$C$2:$C$50,MATCH($E573,Products!$A$2:$A$50,0)),0))</f>
        <v/>
      </c>
      <c r="J573" s="41" t="str">
        <f aca="false">IF($A573="","",IFERROR(INDEX(Products!$D$2:$D$50,MATCH($E573,Products!$A$2:$A$50,0)),0))</f>
        <v/>
      </c>
      <c r="K573" s="41" t="str">
        <f aca="false">IF($A573="","",$F573*$I573*(1-$G573))</f>
        <v/>
      </c>
      <c r="L573" s="41" t="str">
        <f aca="false">IF($A573="","",$F573*$J573)</f>
        <v/>
      </c>
      <c r="M573" s="41" t="str">
        <f aca="false">IF($A573="","",$K573-$L573)</f>
        <v/>
      </c>
    </row>
    <row r="574" customFormat="false" ht="15" hidden="false" customHeight="false" outlineLevel="0" collapsed="false">
      <c r="H574" s="8" t="str">
        <f aca="false">IF($A574="","",IFERROR(INDEX(Products!$B$2:$B$50,MATCH($E574,Products!$A$2:$A$50,0)),"Unmapped"))</f>
        <v/>
      </c>
      <c r="I574" s="41" t="str">
        <f aca="false">IF($A574="","",IFERROR(INDEX(Products!$C$2:$C$50,MATCH($E574,Products!$A$2:$A$50,0)),0))</f>
        <v/>
      </c>
      <c r="J574" s="41" t="str">
        <f aca="false">IF($A574="","",IFERROR(INDEX(Products!$D$2:$D$50,MATCH($E574,Products!$A$2:$A$50,0)),0))</f>
        <v/>
      </c>
      <c r="K574" s="41" t="str">
        <f aca="false">IF($A574="","",$F574*$I574*(1-$G574))</f>
        <v/>
      </c>
      <c r="L574" s="41" t="str">
        <f aca="false">IF($A574="","",$F574*$J574)</f>
        <v/>
      </c>
      <c r="M574" s="41" t="str">
        <f aca="false">IF($A574="","",$K574-$L574)</f>
        <v/>
      </c>
    </row>
    <row r="575" customFormat="false" ht="15" hidden="false" customHeight="false" outlineLevel="0" collapsed="false">
      <c r="H575" s="8" t="str">
        <f aca="false">IF($A575="","",IFERROR(INDEX(Products!$B$2:$B$50,MATCH($E575,Products!$A$2:$A$50,0)),"Unmapped"))</f>
        <v/>
      </c>
      <c r="I575" s="41" t="str">
        <f aca="false">IF($A575="","",IFERROR(INDEX(Products!$C$2:$C$50,MATCH($E575,Products!$A$2:$A$50,0)),0))</f>
        <v/>
      </c>
      <c r="J575" s="41" t="str">
        <f aca="false">IF($A575="","",IFERROR(INDEX(Products!$D$2:$D$50,MATCH($E575,Products!$A$2:$A$50,0)),0))</f>
        <v/>
      </c>
      <c r="K575" s="41" t="str">
        <f aca="false">IF($A575="","",$F575*$I575*(1-$G575))</f>
        <v/>
      </c>
      <c r="L575" s="41" t="str">
        <f aca="false">IF($A575="","",$F575*$J575)</f>
        <v/>
      </c>
      <c r="M575" s="41" t="str">
        <f aca="false">IF($A575="","",$K575-$L575)</f>
        <v/>
      </c>
    </row>
    <row r="576" customFormat="false" ht="15" hidden="false" customHeight="false" outlineLevel="0" collapsed="false">
      <c r="H576" s="8" t="str">
        <f aca="false">IF($A576="","",IFERROR(INDEX(Products!$B$2:$B$50,MATCH($E576,Products!$A$2:$A$50,0)),"Unmapped"))</f>
        <v/>
      </c>
      <c r="I576" s="41" t="str">
        <f aca="false">IF($A576="","",IFERROR(INDEX(Products!$C$2:$C$50,MATCH($E576,Products!$A$2:$A$50,0)),0))</f>
        <v/>
      </c>
      <c r="J576" s="41" t="str">
        <f aca="false">IF($A576="","",IFERROR(INDEX(Products!$D$2:$D$50,MATCH($E576,Products!$A$2:$A$50,0)),0))</f>
        <v/>
      </c>
      <c r="K576" s="41" t="str">
        <f aca="false">IF($A576="","",$F576*$I576*(1-$G576))</f>
        <v/>
      </c>
      <c r="L576" s="41" t="str">
        <f aca="false">IF($A576="","",$F576*$J576)</f>
        <v/>
      </c>
      <c r="M576" s="41" t="str">
        <f aca="false">IF($A576="","",$K576-$L576)</f>
        <v/>
      </c>
    </row>
    <row r="577" customFormat="false" ht="15" hidden="false" customHeight="false" outlineLevel="0" collapsed="false">
      <c r="H577" s="8" t="str">
        <f aca="false">IF($A577="","",IFERROR(INDEX(Products!$B$2:$B$50,MATCH($E577,Products!$A$2:$A$50,0)),"Unmapped"))</f>
        <v/>
      </c>
      <c r="I577" s="41" t="str">
        <f aca="false">IF($A577="","",IFERROR(INDEX(Products!$C$2:$C$50,MATCH($E577,Products!$A$2:$A$50,0)),0))</f>
        <v/>
      </c>
      <c r="J577" s="41" t="str">
        <f aca="false">IF($A577="","",IFERROR(INDEX(Products!$D$2:$D$50,MATCH($E577,Products!$A$2:$A$50,0)),0))</f>
        <v/>
      </c>
      <c r="K577" s="41" t="str">
        <f aca="false">IF($A577="","",$F577*$I577*(1-$G577))</f>
        <v/>
      </c>
      <c r="L577" s="41" t="str">
        <f aca="false">IF($A577="","",$F577*$J577)</f>
        <v/>
      </c>
      <c r="M577" s="41" t="str">
        <f aca="false">IF($A577="","",$K577-$L577)</f>
        <v/>
      </c>
    </row>
    <row r="578" customFormat="false" ht="15" hidden="false" customHeight="false" outlineLevel="0" collapsed="false">
      <c r="H578" s="8" t="str">
        <f aca="false">IF($A578="","",IFERROR(INDEX(Products!$B$2:$B$50,MATCH($E578,Products!$A$2:$A$50,0)),"Unmapped"))</f>
        <v/>
      </c>
      <c r="I578" s="41" t="str">
        <f aca="false">IF($A578="","",IFERROR(INDEX(Products!$C$2:$C$50,MATCH($E578,Products!$A$2:$A$50,0)),0))</f>
        <v/>
      </c>
      <c r="J578" s="41" t="str">
        <f aca="false">IF($A578="","",IFERROR(INDEX(Products!$D$2:$D$50,MATCH($E578,Products!$A$2:$A$50,0)),0))</f>
        <v/>
      </c>
      <c r="K578" s="41" t="str">
        <f aca="false">IF($A578="","",$F578*$I578*(1-$G578))</f>
        <v/>
      </c>
      <c r="L578" s="41" t="str">
        <f aca="false">IF($A578="","",$F578*$J578)</f>
        <v/>
      </c>
      <c r="M578" s="41" t="str">
        <f aca="false">IF($A578="","",$K578-$L578)</f>
        <v/>
      </c>
    </row>
    <row r="579" customFormat="false" ht="15" hidden="false" customHeight="false" outlineLevel="0" collapsed="false">
      <c r="H579" s="8" t="str">
        <f aca="false">IF($A579="","",IFERROR(INDEX(Products!$B$2:$B$50,MATCH($E579,Products!$A$2:$A$50,0)),"Unmapped"))</f>
        <v/>
      </c>
      <c r="I579" s="41" t="str">
        <f aca="false">IF($A579="","",IFERROR(INDEX(Products!$C$2:$C$50,MATCH($E579,Products!$A$2:$A$50,0)),0))</f>
        <v/>
      </c>
      <c r="J579" s="41" t="str">
        <f aca="false">IF($A579="","",IFERROR(INDEX(Products!$D$2:$D$50,MATCH($E579,Products!$A$2:$A$50,0)),0))</f>
        <v/>
      </c>
      <c r="K579" s="41" t="str">
        <f aca="false">IF($A579="","",$F579*$I579*(1-$G579))</f>
        <v/>
      </c>
      <c r="L579" s="41" t="str">
        <f aca="false">IF($A579="","",$F579*$J579)</f>
        <v/>
      </c>
      <c r="M579" s="41" t="str">
        <f aca="false">IF($A579="","",$K579-$L579)</f>
        <v/>
      </c>
    </row>
    <row r="580" customFormat="false" ht="15" hidden="false" customHeight="false" outlineLevel="0" collapsed="false">
      <c r="H580" s="8" t="str">
        <f aca="false">IF($A580="","",IFERROR(INDEX(Products!$B$2:$B$50,MATCH($E580,Products!$A$2:$A$50,0)),"Unmapped"))</f>
        <v/>
      </c>
      <c r="I580" s="41" t="str">
        <f aca="false">IF($A580="","",IFERROR(INDEX(Products!$C$2:$C$50,MATCH($E580,Products!$A$2:$A$50,0)),0))</f>
        <v/>
      </c>
      <c r="J580" s="41" t="str">
        <f aca="false">IF($A580="","",IFERROR(INDEX(Products!$D$2:$D$50,MATCH($E580,Products!$A$2:$A$50,0)),0))</f>
        <v/>
      </c>
      <c r="K580" s="41" t="str">
        <f aca="false">IF($A580="","",$F580*$I580*(1-$G580))</f>
        <v/>
      </c>
      <c r="L580" s="41" t="str">
        <f aca="false">IF($A580="","",$F580*$J580)</f>
        <v/>
      </c>
      <c r="M580" s="41" t="str">
        <f aca="false">IF($A580="","",$K580-$L580)</f>
        <v/>
      </c>
    </row>
    <row r="581" customFormat="false" ht="15" hidden="false" customHeight="false" outlineLevel="0" collapsed="false">
      <c r="H581" s="8" t="str">
        <f aca="false">IF($A581="","",IFERROR(INDEX(Products!$B$2:$B$50,MATCH($E581,Products!$A$2:$A$50,0)),"Unmapped"))</f>
        <v/>
      </c>
      <c r="I581" s="41" t="str">
        <f aca="false">IF($A581="","",IFERROR(INDEX(Products!$C$2:$C$50,MATCH($E581,Products!$A$2:$A$50,0)),0))</f>
        <v/>
      </c>
      <c r="J581" s="41" t="str">
        <f aca="false">IF($A581="","",IFERROR(INDEX(Products!$D$2:$D$50,MATCH($E581,Products!$A$2:$A$50,0)),0))</f>
        <v/>
      </c>
      <c r="K581" s="41" t="str">
        <f aca="false">IF($A581="","",$F581*$I581*(1-$G581))</f>
        <v/>
      </c>
      <c r="L581" s="41" t="str">
        <f aca="false">IF($A581="","",$F581*$J581)</f>
        <v/>
      </c>
      <c r="M581" s="41" t="str">
        <f aca="false">IF($A581="","",$K581-$L581)</f>
        <v/>
      </c>
    </row>
    <row r="582" customFormat="false" ht="15" hidden="false" customHeight="false" outlineLevel="0" collapsed="false">
      <c r="H582" s="8" t="str">
        <f aca="false">IF($A582="","",IFERROR(INDEX(Products!$B$2:$B$50,MATCH($E582,Products!$A$2:$A$50,0)),"Unmapped"))</f>
        <v/>
      </c>
      <c r="I582" s="41" t="str">
        <f aca="false">IF($A582="","",IFERROR(INDEX(Products!$C$2:$C$50,MATCH($E582,Products!$A$2:$A$50,0)),0))</f>
        <v/>
      </c>
      <c r="J582" s="41" t="str">
        <f aca="false">IF($A582="","",IFERROR(INDEX(Products!$D$2:$D$50,MATCH($E582,Products!$A$2:$A$50,0)),0))</f>
        <v/>
      </c>
      <c r="K582" s="41" t="str">
        <f aca="false">IF($A582="","",$F582*$I582*(1-$G582))</f>
        <v/>
      </c>
      <c r="L582" s="41" t="str">
        <f aca="false">IF($A582="","",$F582*$J582)</f>
        <v/>
      </c>
      <c r="M582" s="41" t="str">
        <f aca="false">IF($A582="","",$K582-$L582)</f>
        <v/>
      </c>
    </row>
    <row r="583" customFormat="false" ht="15" hidden="false" customHeight="false" outlineLevel="0" collapsed="false">
      <c r="H583" s="8" t="str">
        <f aca="false">IF($A583="","",IFERROR(INDEX(Products!$B$2:$B$50,MATCH($E583,Products!$A$2:$A$50,0)),"Unmapped"))</f>
        <v/>
      </c>
      <c r="I583" s="41" t="str">
        <f aca="false">IF($A583="","",IFERROR(INDEX(Products!$C$2:$C$50,MATCH($E583,Products!$A$2:$A$50,0)),0))</f>
        <v/>
      </c>
      <c r="J583" s="41" t="str">
        <f aca="false">IF($A583="","",IFERROR(INDEX(Products!$D$2:$D$50,MATCH($E583,Products!$A$2:$A$50,0)),0))</f>
        <v/>
      </c>
      <c r="K583" s="41" t="str">
        <f aca="false">IF($A583="","",$F583*$I583*(1-$G583))</f>
        <v/>
      </c>
      <c r="L583" s="41" t="str">
        <f aca="false">IF($A583="","",$F583*$J583)</f>
        <v/>
      </c>
      <c r="M583" s="41" t="str">
        <f aca="false">IF($A583="","",$K583-$L583)</f>
        <v/>
      </c>
    </row>
    <row r="584" customFormat="false" ht="15" hidden="false" customHeight="false" outlineLevel="0" collapsed="false">
      <c r="H584" s="8" t="str">
        <f aca="false">IF($A584="","",IFERROR(INDEX(Products!$B$2:$B$50,MATCH($E584,Products!$A$2:$A$50,0)),"Unmapped"))</f>
        <v/>
      </c>
      <c r="I584" s="41" t="str">
        <f aca="false">IF($A584="","",IFERROR(INDEX(Products!$C$2:$C$50,MATCH($E584,Products!$A$2:$A$50,0)),0))</f>
        <v/>
      </c>
      <c r="J584" s="41" t="str">
        <f aca="false">IF($A584="","",IFERROR(INDEX(Products!$D$2:$D$50,MATCH($E584,Products!$A$2:$A$50,0)),0))</f>
        <v/>
      </c>
      <c r="K584" s="41" t="str">
        <f aca="false">IF($A584="","",$F584*$I584*(1-$G584))</f>
        <v/>
      </c>
      <c r="L584" s="41" t="str">
        <f aca="false">IF($A584="","",$F584*$J584)</f>
        <v/>
      </c>
      <c r="M584" s="41" t="str">
        <f aca="false">IF($A584="","",$K584-$L584)</f>
        <v/>
      </c>
    </row>
    <row r="585" customFormat="false" ht="15" hidden="false" customHeight="false" outlineLevel="0" collapsed="false">
      <c r="H585" s="8" t="str">
        <f aca="false">IF($A585="","",IFERROR(INDEX(Products!$B$2:$B$50,MATCH($E585,Products!$A$2:$A$50,0)),"Unmapped"))</f>
        <v/>
      </c>
      <c r="I585" s="41" t="str">
        <f aca="false">IF($A585="","",IFERROR(INDEX(Products!$C$2:$C$50,MATCH($E585,Products!$A$2:$A$50,0)),0))</f>
        <v/>
      </c>
      <c r="J585" s="41" t="str">
        <f aca="false">IF($A585="","",IFERROR(INDEX(Products!$D$2:$D$50,MATCH($E585,Products!$A$2:$A$50,0)),0))</f>
        <v/>
      </c>
      <c r="K585" s="41" t="str">
        <f aca="false">IF($A585="","",$F585*$I585*(1-$G585))</f>
        <v/>
      </c>
      <c r="L585" s="41" t="str">
        <f aca="false">IF($A585="","",$F585*$J585)</f>
        <v/>
      </c>
      <c r="M585" s="41" t="str">
        <f aca="false">IF($A585="","",$K585-$L585)</f>
        <v/>
      </c>
    </row>
    <row r="586" customFormat="false" ht="15" hidden="false" customHeight="false" outlineLevel="0" collapsed="false">
      <c r="H586" s="8" t="str">
        <f aca="false">IF($A586="","",IFERROR(INDEX(Products!$B$2:$B$50,MATCH($E586,Products!$A$2:$A$50,0)),"Unmapped"))</f>
        <v/>
      </c>
      <c r="I586" s="41" t="str">
        <f aca="false">IF($A586="","",IFERROR(INDEX(Products!$C$2:$C$50,MATCH($E586,Products!$A$2:$A$50,0)),0))</f>
        <v/>
      </c>
      <c r="J586" s="41" t="str">
        <f aca="false">IF($A586="","",IFERROR(INDEX(Products!$D$2:$D$50,MATCH($E586,Products!$A$2:$A$50,0)),0))</f>
        <v/>
      </c>
      <c r="K586" s="41" t="str">
        <f aca="false">IF($A586="","",$F586*$I586*(1-$G586))</f>
        <v/>
      </c>
      <c r="L586" s="41" t="str">
        <f aca="false">IF($A586="","",$F586*$J586)</f>
        <v/>
      </c>
      <c r="M586" s="41" t="str">
        <f aca="false">IF($A586="","",$K586-$L586)</f>
        <v/>
      </c>
    </row>
    <row r="587" customFormat="false" ht="15" hidden="false" customHeight="false" outlineLevel="0" collapsed="false">
      <c r="H587" s="8" t="str">
        <f aca="false">IF($A587="","",IFERROR(INDEX(Products!$B$2:$B$50,MATCH($E587,Products!$A$2:$A$50,0)),"Unmapped"))</f>
        <v/>
      </c>
      <c r="I587" s="41" t="str">
        <f aca="false">IF($A587="","",IFERROR(INDEX(Products!$C$2:$C$50,MATCH($E587,Products!$A$2:$A$50,0)),0))</f>
        <v/>
      </c>
      <c r="J587" s="41" t="str">
        <f aca="false">IF($A587="","",IFERROR(INDEX(Products!$D$2:$D$50,MATCH($E587,Products!$A$2:$A$50,0)),0))</f>
        <v/>
      </c>
      <c r="K587" s="41" t="str">
        <f aca="false">IF($A587="","",$F587*$I587*(1-$G587))</f>
        <v/>
      </c>
      <c r="L587" s="41" t="str">
        <f aca="false">IF($A587="","",$F587*$J587)</f>
        <v/>
      </c>
      <c r="M587" s="41" t="str">
        <f aca="false">IF($A587="","",$K587-$L587)</f>
        <v/>
      </c>
    </row>
    <row r="588" customFormat="false" ht="15" hidden="false" customHeight="false" outlineLevel="0" collapsed="false">
      <c r="H588" s="8" t="str">
        <f aca="false">IF($A588="","",IFERROR(INDEX(Products!$B$2:$B$50,MATCH($E588,Products!$A$2:$A$50,0)),"Unmapped"))</f>
        <v/>
      </c>
      <c r="I588" s="41" t="str">
        <f aca="false">IF($A588="","",IFERROR(INDEX(Products!$C$2:$C$50,MATCH($E588,Products!$A$2:$A$50,0)),0))</f>
        <v/>
      </c>
      <c r="J588" s="41" t="str">
        <f aca="false">IF($A588="","",IFERROR(INDEX(Products!$D$2:$D$50,MATCH($E588,Products!$A$2:$A$50,0)),0))</f>
        <v/>
      </c>
      <c r="K588" s="41" t="str">
        <f aca="false">IF($A588="","",$F588*$I588*(1-$G588))</f>
        <v/>
      </c>
      <c r="L588" s="41" t="str">
        <f aca="false">IF($A588="","",$F588*$J588)</f>
        <v/>
      </c>
      <c r="M588" s="41" t="str">
        <f aca="false">IF($A588="","",$K588-$L588)</f>
        <v/>
      </c>
    </row>
    <row r="589" customFormat="false" ht="15" hidden="false" customHeight="false" outlineLevel="0" collapsed="false">
      <c r="H589" s="8" t="str">
        <f aca="false">IF($A589="","",IFERROR(INDEX(Products!$B$2:$B$50,MATCH($E589,Products!$A$2:$A$50,0)),"Unmapped"))</f>
        <v/>
      </c>
      <c r="I589" s="41" t="str">
        <f aca="false">IF($A589="","",IFERROR(INDEX(Products!$C$2:$C$50,MATCH($E589,Products!$A$2:$A$50,0)),0))</f>
        <v/>
      </c>
      <c r="J589" s="41" t="str">
        <f aca="false">IF($A589="","",IFERROR(INDEX(Products!$D$2:$D$50,MATCH($E589,Products!$A$2:$A$50,0)),0))</f>
        <v/>
      </c>
      <c r="K589" s="41" t="str">
        <f aca="false">IF($A589="","",$F589*$I589*(1-$G589))</f>
        <v/>
      </c>
      <c r="L589" s="41" t="str">
        <f aca="false">IF($A589="","",$F589*$J589)</f>
        <v/>
      </c>
      <c r="M589" s="41" t="str">
        <f aca="false">IF($A589="","",$K589-$L589)</f>
        <v/>
      </c>
    </row>
    <row r="590" customFormat="false" ht="15" hidden="false" customHeight="false" outlineLevel="0" collapsed="false">
      <c r="H590" s="8" t="str">
        <f aca="false">IF($A590="","",IFERROR(INDEX(Products!$B$2:$B$50,MATCH($E590,Products!$A$2:$A$50,0)),"Unmapped"))</f>
        <v/>
      </c>
      <c r="I590" s="41" t="str">
        <f aca="false">IF($A590="","",IFERROR(INDEX(Products!$C$2:$C$50,MATCH($E590,Products!$A$2:$A$50,0)),0))</f>
        <v/>
      </c>
      <c r="J590" s="41" t="str">
        <f aca="false">IF($A590="","",IFERROR(INDEX(Products!$D$2:$D$50,MATCH($E590,Products!$A$2:$A$50,0)),0))</f>
        <v/>
      </c>
      <c r="K590" s="41" t="str">
        <f aca="false">IF($A590="","",$F590*$I590*(1-$G590))</f>
        <v/>
      </c>
      <c r="L590" s="41" t="str">
        <f aca="false">IF($A590="","",$F590*$J590)</f>
        <v/>
      </c>
      <c r="M590" s="41" t="str">
        <f aca="false">IF($A590="","",$K590-$L590)</f>
        <v/>
      </c>
    </row>
    <row r="591" customFormat="false" ht="15" hidden="false" customHeight="false" outlineLevel="0" collapsed="false">
      <c r="H591" s="8" t="str">
        <f aca="false">IF($A591="","",IFERROR(INDEX(Products!$B$2:$B$50,MATCH($E591,Products!$A$2:$A$50,0)),"Unmapped"))</f>
        <v/>
      </c>
      <c r="I591" s="41" t="str">
        <f aca="false">IF($A591="","",IFERROR(INDEX(Products!$C$2:$C$50,MATCH($E591,Products!$A$2:$A$50,0)),0))</f>
        <v/>
      </c>
      <c r="J591" s="41" t="str">
        <f aca="false">IF($A591="","",IFERROR(INDEX(Products!$D$2:$D$50,MATCH($E591,Products!$A$2:$A$50,0)),0))</f>
        <v/>
      </c>
      <c r="K591" s="41" t="str">
        <f aca="false">IF($A591="","",$F591*$I591*(1-$G591))</f>
        <v/>
      </c>
      <c r="L591" s="41" t="str">
        <f aca="false">IF($A591="","",$F591*$J591)</f>
        <v/>
      </c>
      <c r="M591" s="41" t="str">
        <f aca="false">IF($A591="","",$K591-$L591)</f>
        <v/>
      </c>
    </row>
    <row r="592" customFormat="false" ht="15" hidden="false" customHeight="false" outlineLevel="0" collapsed="false">
      <c r="H592" s="8" t="str">
        <f aca="false">IF($A592="","",IFERROR(INDEX(Products!$B$2:$B$50,MATCH($E592,Products!$A$2:$A$50,0)),"Unmapped"))</f>
        <v/>
      </c>
      <c r="I592" s="41" t="str">
        <f aca="false">IF($A592="","",IFERROR(INDEX(Products!$C$2:$C$50,MATCH($E592,Products!$A$2:$A$50,0)),0))</f>
        <v/>
      </c>
      <c r="J592" s="41" t="str">
        <f aca="false">IF($A592="","",IFERROR(INDEX(Products!$D$2:$D$50,MATCH($E592,Products!$A$2:$A$50,0)),0))</f>
        <v/>
      </c>
      <c r="K592" s="41" t="str">
        <f aca="false">IF($A592="","",$F592*$I592*(1-$G592))</f>
        <v/>
      </c>
      <c r="L592" s="41" t="str">
        <f aca="false">IF($A592="","",$F592*$J592)</f>
        <v/>
      </c>
      <c r="M592" s="41" t="str">
        <f aca="false">IF($A592="","",$K592-$L592)</f>
        <v/>
      </c>
    </row>
    <row r="593" customFormat="false" ht="15" hidden="false" customHeight="false" outlineLevel="0" collapsed="false">
      <c r="H593" s="8" t="str">
        <f aca="false">IF($A593="","",IFERROR(INDEX(Products!$B$2:$B$50,MATCH($E593,Products!$A$2:$A$50,0)),"Unmapped"))</f>
        <v/>
      </c>
      <c r="I593" s="41" t="str">
        <f aca="false">IF($A593="","",IFERROR(INDEX(Products!$C$2:$C$50,MATCH($E593,Products!$A$2:$A$50,0)),0))</f>
        <v/>
      </c>
      <c r="J593" s="41" t="str">
        <f aca="false">IF($A593="","",IFERROR(INDEX(Products!$D$2:$D$50,MATCH($E593,Products!$A$2:$A$50,0)),0))</f>
        <v/>
      </c>
      <c r="K593" s="41" t="str">
        <f aca="false">IF($A593="","",$F593*$I593*(1-$G593))</f>
        <v/>
      </c>
      <c r="L593" s="41" t="str">
        <f aca="false">IF($A593="","",$F593*$J593)</f>
        <v/>
      </c>
      <c r="M593" s="41" t="str">
        <f aca="false">IF($A593="","",$K593-$L593)</f>
        <v/>
      </c>
    </row>
    <row r="594" customFormat="false" ht="15" hidden="false" customHeight="false" outlineLevel="0" collapsed="false">
      <c r="H594" s="8" t="str">
        <f aca="false">IF($A594="","",IFERROR(INDEX(Products!$B$2:$B$50,MATCH($E594,Products!$A$2:$A$50,0)),"Unmapped"))</f>
        <v/>
      </c>
      <c r="I594" s="41" t="str">
        <f aca="false">IF($A594="","",IFERROR(INDEX(Products!$C$2:$C$50,MATCH($E594,Products!$A$2:$A$50,0)),0))</f>
        <v/>
      </c>
      <c r="J594" s="41" t="str">
        <f aca="false">IF($A594="","",IFERROR(INDEX(Products!$D$2:$D$50,MATCH($E594,Products!$A$2:$A$50,0)),0))</f>
        <v/>
      </c>
      <c r="K594" s="41" t="str">
        <f aca="false">IF($A594="","",$F594*$I594*(1-$G594))</f>
        <v/>
      </c>
      <c r="L594" s="41" t="str">
        <f aca="false">IF($A594="","",$F594*$J594)</f>
        <v/>
      </c>
      <c r="M594" s="41" t="str">
        <f aca="false">IF($A594="","",$K594-$L594)</f>
        <v/>
      </c>
    </row>
    <row r="595" customFormat="false" ht="15" hidden="false" customHeight="false" outlineLevel="0" collapsed="false">
      <c r="H595" s="8" t="str">
        <f aca="false">IF($A595="","",IFERROR(INDEX(Products!$B$2:$B$50,MATCH($E595,Products!$A$2:$A$50,0)),"Unmapped"))</f>
        <v/>
      </c>
      <c r="I595" s="41" t="str">
        <f aca="false">IF($A595="","",IFERROR(INDEX(Products!$C$2:$C$50,MATCH($E595,Products!$A$2:$A$50,0)),0))</f>
        <v/>
      </c>
      <c r="J595" s="41" t="str">
        <f aca="false">IF($A595="","",IFERROR(INDEX(Products!$D$2:$D$50,MATCH($E595,Products!$A$2:$A$50,0)),0))</f>
        <v/>
      </c>
      <c r="K595" s="41" t="str">
        <f aca="false">IF($A595="","",$F595*$I595*(1-$G595))</f>
        <v/>
      </c>
      <c r="L595" s="41" t="str">
        <f aca="false">IF($A595="","",$F595*$J595)</f>
        <v/>
      </c>
      <c r="M595" s="41" t="str">
        <f aca="false">IF($A595="","",$K595-$L595)</f>
        <v/>
      </c>
    </row>
    <row r="596" customFormat="false" ht="15" hidden="false" customHeight="false" outlineLevel="0" collapsed="false">
      <c r="H596" s="8" t="str">
        <f aca="false">IF($A596="","",IFERROR(INDEX(Products!$B$2:$B$50,MATCH($E596,Products!$A$2:$A$50,0)),"Unmapped"))</f>
        <v/>
      </c>
      <c r="I596" s="41" t="str">
        <f aca="false">IF($A596="","",IFERROR(INDEX(Products!$C$2:$C$50,MATCH($E596,Products!$A$2:$A$50,0)),0))</f>
        <v/>
      </c>
      <c r="J596" s="41" t="str">
        <f aca="false">IF($A596="","",IFERROR(INDEX(Products!$D$2:$D$50,MATCH($E596,Products!$A$2:$A$50,0)),0))</f>
        <v/>
      </c>
      <c r="K596" s="41" t="str">
        <f aca="false">IF($A596="","",$F596*$I596*(1-$G596))</f>
        <v/>
      </c>
      <c r="L596" s="41" t="str">
        <f aca="false">IF($A596="","",$F596*$J596)</f>
        <v/>
      </c>
      <c r="M596" s="41" t="str">
        <f aca="false">IF($A596="","",$K596-$L596)</f>
        <v/>
      </c>
    </row>
    <row r="597" customFormat="false" ht="15" hidden="false" customHeight="false" outlineLevel="0" collapsed="false">
      <c r="H597" s="8" t="str">
        <f aca="false">IF($A597="","",IFERROR(INDEX(Products!$B$2:$B$50,MATCH($E597,Products!$A$2:$A$50,0)),"Unmapped"))</f>
        <v/>
      </c>
      <c r="I597" s="41" t="str">
        <f aca="false">IF($A597="","",IFERROR(INDEX(Products!$C$2:$C$50,MATCH($E597,Products!$A$2:$A$50,0)),0))</f>
        <v/>
      </c>
      <c r="J597" s="41" t="str">
        <f aca="false">IF($A597="","",IFERROR(INDEX(Products!$D$2:$D$50,MATCH($E597,Products!$A$2:$A$50,0)),0))</f>
        <v/>
      </c>
      <c r="K597" s="41" t="str">
        <f aca="false">IF($A597="","",$F597*$I597*(1-$G597))</f>
        <v/>
      </c>
      <c r="L597" s="41" t="str">
        <f aca="false">IF($A597="","",$F597*$J597)</f>
        <v/>
      </c>
      <c r="M597" s="41" t="str">
        <f aca="false">IF($A597="","",$K597-$L597)</f>
        <v/>
      </c>
    </row>
    <row r="598" customFormat="false" ht="15" hidden="false" customHeight="false" outlineLevel="0" collapsed="false">
      <c r="H598" s="8" t="str">
        <f aca="false">IF($A598="","",IFERROR(INDEX(Products!$B$2:$B$50,MATCH($E598,Products!$A$2:$A$50,0)),"Unmapped"))</f>
        <v/>
      </c>
      <c r="I598" s="41" t="str">
        <f aca="false">IF($A598="","",IFERROR(INDEX(Products!$C$2:$C$50,MATCH($E598,Products!$A$2:$A$50,0)),0))</f>
        <v/>
      </c>
      <c r="J598" s="41" t="str">
        <f aca="false">IF($A598="","",IFERROR(INDEX(Products!$D$2:$D$50,MATCH($E598,Products!$A$2:$A$50,0)),0))</f>
        <v/>
      </c>
      <c r="K598" s="41" t="str">
        <f aca="false">IF($A598="","",$F598*$I598*(1-$G598))</f>
        <v/>
      </c>
      <c r="L598" s="41" t="str">
        <f aca="false">IF($A598="","",$F598*$J598)</f>
        <v/>
      </c>
      <c r="M598" s="41" t="str">
        <f aca="false">IF($A598="","",$K598-$L598)</f>
        <v/>
      </c>
    </row>
    <row r="599" customFormat="false" ht="15" hidden="false" customHeight="false" outlineLevel="0" collapsed="false">
      <c r="H599" s="8" t="str">
        <f aca="false">IF($A599="","",IFERROR(INDEX(Products!$B$2:$B$50,MATCH($E599,Products!$A$2:$A$50,0)),"Unmapped"))</f>
        <v/>
      </c>
      <c r="I599" s="41" t="str">
        <f aca="false">IF($A599="","",IFERROR(INDEX(Products!$C$2:$C$50,MATCH($E599,Products!$A$2:$A$50,0)),0))</f>
        <v/>
      </c>
      <c r="J599" s="41" t="str">
        <f aca="false">IF($A599="","",IFERROR(INDEX(Products!$D$2:$D$50,MATCH($E599,Products!$A$2:$A$50,0)),0))</f>
        <v/>
      </c>
      <c r="K599" s="41" t="str">
        <f aca="false">IF($A599="","",$F599*$I599*(1-$G599))</f>
        <v/>
      </c>
      <c r="L599" s="41" t="str">
        <f aca="false">IF($A599="","",$F599*$J599)</f>
        <v/>
      </c>
      <c r="M599" s="41" t="str">
        <f aca="false">IF($A599="","",$K599-$L599)</f>
        <v/>
      </c>
    </row>
    <row r="600" customFormat="false" ht="15" hidden="false" customHeight="false" outlineLevel="0" collapsed="false">
      <c r="H600" s="8" t="str">
        <f aca="false">IF($A600="","",IFERROR(INDEX(Products!$B$2:$B$50,MATCH($E600,Products!$A$2:$A$50,0)),"Unmapped"))</f>
        <v/>
      </c>
      <c r="I600" s="41" t="str">
        <f aca="false">IF($A600="","",IFERROR(INDEX(Products!$C$2:$C$50,MATCH($E600,Products!$A$2:$A$50,0)),0))</f>
        <v/>
      </c>
      <c r="J600" s="41" t="str">
        <f aca="false">IF($A600="","",IFERROR(INDEX(Products!$D$2:$D$50,MATCH($E600,Products!$A$2:$A$50,0)),0))</f>
        <v/>
      </c>
      <c r="K600" s="41" t="str">
        <f aca="false">IF($A600="","",$F600*$I600*(1-$G600))</f>
        <v/>
      </c>
      <c r="L600" s="41" t="str">
        <f aca="false">IF($A600="","",$F600*$J600)</f>
        <v/>
      </c>
      <c r="M600" s="41" t="str">
        <f aca="false">IF($A600="","",$K600-$L600)</f>
        <v/>
      </c>
    </row>
    <row r="601" customFormat="false" ht="15" hidden="false" customHeight="false" outlineLevel="0" collapsed="false">
      <c r="H601" s="8" t="str">
        <f aca="false">IF($A601="","",IFERROR(INDEX(Products!$B$2:$B$50,MATCH($E601,Products!$A$2:$A$50,0)),"Unmapped"))</f>
        <v/>
      </c>
      <c r="I601" s="41" t="str">
        <f aca="false">IF($A601="","",IFERROR(INDEX(Products!$C$2:$C$50,MATCH($E601,Products!$A$2:$A$50,0)),0))</f>
        <v/>
      </c>
      <c r="J601" s="41" t="str">
        <f aca="false">IF($A601="","",IFERROR(INDEX(Products!$D$2:$D$50,MATCH($E601,Products!$A$2:$A$50,0)),0))</f>
        <v/>
      </c>
      <c r="K601" s="41" t="str">
        <f aca="false">IF($A601="","",$F601*$I601*(1-$G601))</f>
        <v/>
      </c>
      <c r="L601" s="41" t="str">
        <f aca="false">IF($A601="","",$F601*$J601)</f>
        <v/>
      </c>
      <c r="M601" s="41" t="str">
        <f aca="false">IF($A601="","",$K601-$L601)</f>
        <v/>
      </c>
    </row>
    <row r="602" customFormat="false" ht="15" hidden="false" customHeight="false" outlineLevel="0" collapsed="false">
      <c r="H602" s="8" t="str">
        <f aca="false">IF($A602="","",IFERROR(INDEX(Products!$B$2:$B$50,MATCH($E602,Products!$A$2:$A$50,0)),"Unmapped"))</f>
        <v/>
      </c>
      <c r="I602" s="41" t="str">
        <f aca="false">IF($A602="","",IFERROR(INDEX(Products!$C$2:$C$50,MATCH($E602,Products!$A$2:$A$50,0)),0))</f>
        <v/>
      </c>
      <c r="J602" s="41" t="str">
        <f aca="false">IF($A602="","",IFERROR(INDEX(Products!$D$2:$D$50,MATCH($E602,Products!$A$2:$A$50,0)),0))</f>
        <v/>
      </c>
      <c r="K602" s="41" t="str">
        <f aca="false">IF($A602="","",$F602*$I602*(1-$G602))</f>
        <v/>
      </c>
      <c r="L602" s="41" t="str">
        <f aca="false">IF($A602="","",$F602*$J602)</f>
        <v/>
      </c>
      <c r="M602" s="41" t="str">
        <f aca="false">IF($A602="","",$K602-$L602)</f>
        <v/>
      </c>
    </row>
    <row r="603" customFormat="false" ht="15" hidden="false" customHeight="false" outlineLevel="0" collapsed="false">
      <c r="H603" s="8" t="str">
        <f aca="false">IF($A603="","",IFERROR(INDEX(Products!$B$2:$B$50,MATCH($E603,Products!$A$2:$A$50,0)),"Unmapped"))</f>
        <v/>
      </c>
      <c r="I603" s="41" t="str">
        <f aca="false">IF($A603="","",IFERROR(INDEX(Products!$C$2:$C$50,MATCH($E603,Products!$A$2:$A$50,0)),0))</f>
        <v/>
      </c>
      <c r="J603" s="41" t="str">
        <f aca="false">IF($A603="","",IFERROR(INDEX(Products!$D$2:$D$50,MATCH($E603,Products!$A$2:$A$50,0)),0))</f>
        <v/>
      </c>
      <c r="K603" s="41" t="str">
        <f aca="false">IF($A603="","",$F603*$I603*(1-$G603))</f>
        <v/>
      </c>
      <c r="L603" s="41" t="str">
        <f aca="false">IF($A603="","",$F603*$J603)</f>
        <v/>
      </c>
      <c r="M603" s="41" t="str">
        <f aca="false">IF($A603="","",$K603-$L603)</f>
        <v/>
      </c>
    </row>
    <row r="604" customFormat="false" ht="15" hidden="false" customHeight="false" outlineLevel="0" collapsed="false">
      <c r="H604" s="8" t="str">
        <f aca="false">IF($A604="","",IFERROR(INDEX(Products!$B$2:$B$50,MATCH($E604,Products!$A$2:$A$50,0)),"Unmapped"))</f>
        <v/>
      </c>
      <c r="I604" s="41" t="str">
        <f aca="false">IF($A604="","",IFERROR(INDEX(Products!$C$2:$C$50,MATCH($E604,Products!$A$2:$A$50,0)),0))</f>
        <v/>
      </c>
      <c r="J604" s="41" t="str">
        <f aca="false">IF($A604="","",IFERROR(INDEX(Products!$D$2:$D$50,MATCH($E604,Products!$A$2:$A$50,0)),0))</f>
        <v/>
      </c>
      <c r="K604" s="41" t="str">
        <f aca="false">IF($A604="","",$F604*$I604*(1-$G604))</f>
        <v/>
      </c>
      <c r="L604" s="41" t="str">
        <f aca="false">IF($A604="","",$F604*$J604)</f>
        <v/>
      </c>
      <c r="M604" s="41" t="str">
        <f aca="false">IF($A604="","",$K604-$L604)</f>
        <v/>
      </c>
    </row>
    <row r="605" customFormat="false" ht="15" hidden="false" customHeight="false" outlineLevel="0" collapsed="false">
      <c r="H605" s="8" t="str">
        <f aca="false">IF($A605="","",IFERROR(INDEX(Products!$B$2:$B$50,MATCH($E605,Products!$A$2:$A$50,0)),"Unmapped"))</f>
        <v/>
      </c>
      <c r="I605" s="41" t="str">
        <f aca="false">IF($A605="","",IFERROR(INDEX(Products!$C$2:$C$50,MATCH($E605,Products!$A$2:$A$50,0)),0))</f>
        <v/>
      </c>
      <c r="J605" s="41" t="str">
        <f aca="false">IF($A605="","",IFERROR(INDEX(Products!$D$2:$D$50,MATCH($E605,Products!$A$2:$A$50,0)),0))</f>
        <v/>
      </c>
      <c r="K605" s="41" t="str">
        <f aca="false">IF($A605="","",$F605*$I605*(1-$G605))</f>
        <v/>
      </c>
      <c r="L605" s="41" t="str">
        <f aca="false">IF($A605="","",$F605*$J605)</f>
        <v/>
      </c>
      <c r="M605" s="41" t="str">
        <f aca="false">IF($A605="","",$K605-$L605)</f>
        <v/>
      </c>
    </row>
    <row r="606" customFormat="false" ht="15" hidden="false" customHeight="false" outlineLevel="0" collapsed="false">
      <c r="H606" s="8" t="str">
        <f aca="false">IF($A606="","",IFERROR(INDEX(Products!$B$2:$B$50,MATCH($E606,Products!$A$2:$A$50,0)),"Unmapped"))</f>
        <v/>
      </c>
      <c r="I606" s="41" t="str">
        <f aca="false">IF($A606="","",IFERROR(INDEX(Products!$C$2:$C$50,MATCH($E606,Products!$A$2:$A$50,0)),0))</f>
        <v/>
      </c>
      <c r="J606" s="41" t="str">
        <f aca="false">IF($A606="","",IFERROR(INDEX(Products!$D$2:$D$50,MATCH($E606,Products!$A$2:$A$50,0)),0))</f>
        <v/>
      </c>
      <c r="K606" s="41" t="str">
        <f aca="false">IF($A606="","",$F606*$I606*(1-$G606))</f>
        <v/>
      </c>
      <c r="L606" s="41" t="str">
        <f aca="false">IF($A606="","",$F606*$J606)</f>
        <v/>
      </c>
      <c r="M606" s="41" t="str">
        <f aca="false">IF($A606="","",$K606-$L606)</f>
        <v/>
      </c>
    </row>
    <row r="607" customFormat="false" ht="15" hidden="false" customHeight="false" outlineLevel="0" collapsed="false">
      <c r="H607" s="8" t="str">
        <f aca="false">IF($A607="","",IFERROR(INDEX(Products!$B$2:$B$50,MATCH($E607,Products!$A$2:$A$50,0)),"Unmapped"))</f>
        <v/>
      </c>
      <c r="I607" s="41" t="str">
        <f aca="false">IF($A607="","",IFERROR(INDEX(Products!$C$2:$C$50,MATCH($E607,Products!$A$2:$A$50,0)),0))</f>
        <v/>
      </c>
      <c r="J607" s="41" t="str">
        <f aca="false">IF($A607="","",IFERROR(INDEX(Products!$D$2:$D$50,MATCH($E607,Products!$A$2:$A$50,0)),0))</f>
        <v/>
      </c>
      <c r="K607" s="41" t="str">
        <f aca="false">IF($A607="","",$F607*$I607*(1-$G607))</f>
        <v/>
      </c>
      <c r="L607" s="41" t="str">
        <f aca="false">IF($A607="","",$F607*$J607)</f>
        <v/>
      </c>
      <c r="M607" s="41" t="str">
        <f aca="false">IF($A607="","",$K607-$L607)</f>
        <v/>
      </c>
    </row>
    <row r="608" customFormat="false" ht="15" hidden="false" customHeight="false" outlineLevel="0" collapsed="false">
      <c r="H608" s="8" t="str">
        <f aca="false">IF($A608="","",IFERROR(INDEX(Products!$B$2:$B$50,MATCH($E608,Products!$A$2:$A$50,0)),"Unmapped"))</f>
        <v/>
      </c>
      <c r="I608" s="41" t="str">
        <f aca="false">IF($A608="","",IFERROR(INDEX(Products!$C$2:$C$50,MATCH($E608,Products!$A$2:$A$50,0)),0))</f>
        <v/>
      </c>
      <c r="J608" s="41" t="str">
        <f aca="false">IF($A608="","",IFERROR(INDEX(Products!$D$2:$D$50,MATCH($E608,Products!$A$2:$A$50,0)),0))</f>
        <v/>
      </c>
      <c r="K608" s="41" t="str">
        <f aca="false">IF($A608="","",$F608*$I608*(1-$G608))</f>
        <v/>
      </c>
      <c r="L608" s="41" t="str">
        <f aca="false">IF($A608="","",$F608*$J608)</f>
        <v/>
      </c>
      <c r="M608" s="41" t="str">
        <f aca="false">IF($A608="","",$K608-$L608)</f>
        <v/>
      </c>
    </row>
    <row r="609" customFormat="false" ht="15" hidden="false" customHeight="false" outlineLevel="0" collapsed="false">
      <c r="H609" s="8" t="str">
        <f aca="false">IF($A609="","",IFERROR(INDEX(Products!$B$2:$B$50,MATCH($E609,Products!$A$2:$A$50,0)),"Unmapped"))</f>
        <v/>
      </c>
      <c r="I609" s="41" t="str">
        <f aca="false">IF($A609="","",IFERROR(INDEX(Products!$C$2:$C$50,MATCH($E609,Products!$A$2:$A$50,0)),0))</f>
        <v/>
      </c>
      <c r="J609" s="41" t="str">
        <f aca="false">IF($A609="","",IFERROR(INDEX(Products!$D$2:$D$50,MATCH($E609,Products!$A$2:$A$50,0)),0))</f>
        <v/>
      </c>
      <c r="K609" s="41" t="str">
        <f aca="false">IF($A609="","",$F609*$I609*(1-$G609))</f>
        <v/>
      </c>
      <c r="L609" s="41" t="str">
        <f aca="false">IF($A609="","",$F609*$J609)</f>
        <v/>
      </c>
      <c r="M609" s="41" t="str">
        <f aca="false">IF($A609="","",$K609-$L609)</f>
        <v/>
      </c>
    </row>
    <row r="610" customFormat="false" ht="15" hidden="false" customHeight="false" outlineLevel="0" collapsed="false">
      <c r="H610" s="8" t="str">
        <f aca="false">IF($A610="","",IFERROR(INDEX(Products!$B$2:$B$50,MATCH($E610,Products!$A$2:$A$50,0)),"Unmapped"))</f>
        <v/>
      </c>
      <c r="I610" s="41" t="str">
        <f aca="false">IF($A610="","",IFERROR(INDEX(Products!$C$2:$C$50,MATCH($E610,Products!$A$2:$A$50,0)),0))</f>
        <v/>
      </c>
      <c r="J610" s="41" t="str">
        <f aca="false">IF($A610="","",IFERROR(INDEX(Products!$D$2:$D$50,MATCH($E610,Products!$A$2:$A$50,0)),0))</f>
        <v/>
      </c>
      <c r="K610" s="41" t="str">
        <f aca="false">IF($A610="","",$F610*$I610*(1-$G610))</f>
        <v/>
      </c>
      <c r="L610" s="41" t="str">
        <f aca="false">IF($A610="","",$F610*$J610)</f>
        <v/>
      </c>
      <c r="M610" s="41" t="str">
        <f aca="false">IF($A610="","",$K610-$L610)</f>
        <v/>
      </c>
    </row>
    <row r="611" customFormat="false" ht="15" hidden="false" customHeight="false" outlineLevel="0" collapsed="false">
      <c r="H611" s="8" t="str">
        <f aca="false">IF($A611="","",IFERROR(INDEX(Products!$B$2:$B$50,MATCH($E611,Products!$A$2:$A$50,0)),"Unmapped"))</f>
        <v/>
      </c>
      <c r="I611" s="41" t="str">
        <f aca="false">IF($A611="","",IFERROR(INDEX(Products!$C$2:$C$50,MATCH($E611,Products!$A$2:$A$50,0)),0))</f>
        <v/>
      </c>
      <c r="J611" s="41" t="str">
        <f aca="false">IF($A611="","",IFERROR(INDEX(Products!$D$2:$D$50,MATCH($E611,Products!$A$2:$A$50,0)),0))</f>
        <v/>
      </c>
      <c r="K611" s="41" t="str">
        <f aca="false">IF($A611="","",$F611*$I611*(1-$G611))</f>
        <v/>
      </c>
      <c r="L611" s="41" t="str">
        <f aca="false">IF($A611="","",$F611*$J611)</f>
        <v/>
      </c>
      <c r="M611" s="41" t="str">
        <f aca="false">IF($A611="","",$K611-$L611)</f>
        <v/>
      </c>
    </row>
    <row r="612" customFormat="false" ht="15" hidden="false" customHeight="false" outlineLevel="0" collapsed="false">
      <c r="H612" s="8" t="str">
        <f aca="false">IF($A612="","",IFERROR(INDEX(Products!$B$2:$B$50,MATCH($E612,Products!$A$2:$A$50,0)),"Unmapped"))</f>
        <v/>
      </c>
      <c r="I612" s="41" t="str">
        <f aca="false">IF($A612="","",IFERROR(INDEX(Products!$C$2:$C$50,MATCH($E612,Products!$A$2:$A$50,0)),0))</f>
        <v/>
      </c>
      <c r="J612" s="41" t="str">
        <f aca="false">IF($A612="","",IFERROR(INDEX(Products!$D$2:$D$50,MATCH($E612,Products!$A$2:$A$50,0)),0))</f>
        <v/>
      </c>
      <c r="K612" s="41" t="str">
        <f aca="false">IF($A612="","",$F612*$I612*(1-$G612))</f>
        <v/>
      </c>
      <c r="L612" s="41" t="str">
        <f aca="false">IF($A612="","",$F612*$J612)</f>
        <v/>
      </c>
      <c r="M612" s="41" t="str">
        <f aca="false">IF($A612="","",$K612-$L612)</f>
        <v/>
      </c>
    </row>
    <row r="613" customFormat="false" ht="15" hidden="false" customHeight="false" outlineLevel="0" collapsed="false">
      <c r="H613" s="8" t="str">
        <f aca="false">IF($A613="","",IFERROR(INDEX(Products!$B$2:$B$50,MATCH($E613,Products!$A$2:$A$50,0)),"Unmapped"))</f>
        <v/>
      </c>
      <c r="I613" s="41" t="str">
        <f aca="false">IF($A613="","",IFERROR(INDEX(Products!$C$2:$C$50,MATCH($E613,Products!$A$2:$A$50,0)),0))</f>
        <v/>
      </c>
      <c r="J613" s="41" t="str">
        <f aca="false">IF($A613="","",IFERROR(INDEX(Products!$D$2:$D$50,MATCH($E613,Products!$A$2:$A$50,0)),0))</f>
        <v/>
      </c>
      <c r="K613" s="41" t="str">
        <f aca="false">IF($A613="","",$F613*$I613*(1-$G613))</f>
        <v/>
      </c>
      <c r="L613" s="41" t="str">
        <f aca="false">IF($A613="","",$F613*$J613)</f>
        <v/>
      </c>
      <c r="M613" s="41" t="str">
        <f aca="false">IF($A613="","",$K613-$L613)</f>
        <v/>
      </c>
    </row>
    <row r="614" customFormat="false" ht="15" hidden="false" customHeight="false" outlineLevel="0" collapsed="false">
      <c r="H614" s="8" t="str">
        <f aca="false">IF($A614="","",IFERROR(INDEX(Products!$B$2:$B$50,MATCH($E614,Products!$A$2:$A$50,0)),"Unmapped"))</f>
        <v/>
      </c>
      <c r="I614" s="41" t="str">
        <f aca="false">IF($A614="","",IFERROR(INDEX(Products!$C$2:$C$50,MATCH($E614,Products!$A$2:$A$50,0)),0))</f>
        <v/>
      </c>
      <c r="J614" s="41" t="str">
        <f aca="false">IF($A614="","",IFERROR(INDEX(Products!$D$2:$D$50,MATCH($E614,Products!$A$2:$A$50,0)),0))</f>
        <v/>
      </c>
      <c r="K614" s="41" t="str">
        <f aca="false">IF($A614="","",$F614*$I614*(1-$G614))</f>
        <v/>
      </c>
      <c r="L614" s="41" t="str">
        <f aca="false">IF($A614="","",$F614*$J614)</f>
        <v/>
      </c>
      <c r="M614" s="41" t="str">
        <f aca="false">IF($A614="","",$K614-$L614)</f>
        <v/>
      </c>
    </row>
    <row r="615" customFormat="false" ht="15" hidden="false" customHeight="false" outlineLevel="0" collapsed="false">
      <c r="H615" s="8" t="str">
        <f aca="false">IF($A615="","",IFERROR(INDEX(Products!$B$2:$B$50,MATCH($E615,Products!$A$2:$A$50,0)),"Unmapped"))</f>
        <v/>
      </c>
      <c r="I615" s="41" t="str">
        <f aca="false">IF($A615="","",IFERROR(INDEX(Products!$C$2:$C$50,MATCH($E615,Products!$A$2:$A$50,0)),0))</f>
        <v/>
      </c>
      <c r="J615" s="41" t="str">
        <f aca="false">IF($A615="","",IFERROR(INDEX(Products!$D$2:$D$50,MATCH($E615,Products!$A$2:$A$50,0)),0))</f>
        <v/>
      </c>
      <c r="K615" s="41" t="str">
        <f aca="false">IF($A615="","",$F615*$I615*(1-$G615))</f>
        <v/>
      </c>
      <c r="L615" s="41" t="str">
        <f aca="false">IF($A615="","",$F615*$J615)</f>
        <v/>
      </c>
      <c r="M615" s="41" t="str">
        <f aca="false">IF($A615="","",$K615-$L615)</f>
        <v/>
      </c>
    </row>
    <row r="616" customFormat="false" ht="15" hidden="false" customHeight="false" outlineLevel="0" collapsed="false">
      <c r="H616" s="8" t="str">
        <f aca="false">IF($A616="","",IFERROR(INDEX(Products!$B$2:$B$50,MATCH($E616,Products!$A$2:$A$50,0)),"Unmapped"))</f>
        <v/>
      </c>
      <c r="I616" s="41" t="str">
        <f aca="false">IF($A616="","",IFERROR(INDEX(Products!$C$2:$C$50,MATCH($E616,Products!$A$2:$A$50,0)),0))</f>
        <v/>
      </c>
      <c r="J616" s="41" t="str">
        <f aca="false">IF($A616="","",IFERROR(INDEX(Products!$D$2:$D$50,MATCH($E616,Products!$A$2:$A$50,0)),0))</f>
        <v/>
      </c>
      <c r="K616" s="41" t="str">
        <f aca="false">IF($A616="","",$F616*$I616*(1-$G616))</f>
        <v/>
      </c>
      <c r="L616" s="41" t="str">
        <f aca="false">IF($A616="","",$F616*$J616)</f>
        <v/>
      </c>
      <c r="M616" s="41" t="str">
        <f aca="false">IF($A616="","",$K616-$L616)</f>
        <v/>
      </c>
    </row>
    <row r="617" customFormat="false" ht="15" hidden="false" customHeight="false" outlineLevel="0" collapsed="false">
      <c r="H617" s="8" t="str">
        <f aca="false">IF($A617="","",IFERROR(INDEX(Products!$B$2:$B$50,MATCH($E617,Products!$A$2:$A$50,0)),"Unmapped"))</f>
        <v/>
      </c>
      <c r="I617" s="41" t="str">
        <f aca="false">IF($A617="","",IFERROR(INDEX(Products!$C$2:$C$50,MATCH($E617,Products!$A$2:$A$50,0)),0))</f>
        <v/>
      </c>
      <c r="J617" s="41" t="str">
        <f aca="false">IF($A617="","",IFERROR(INDEX(Products!$D$2:$D$50,MATCH($E617,Products!$A$2:$A$50,0)),0))</f>
        <v/>
      </c>
      <c r="K617" s="41" t="str">
        <f aca="false">IF($A617="","",$F617*$I617*(1-$G617))</f>
        <v/>
      </c>
      <c r="L617" s="41" t="str">
        <f aca="false">IF($A617="","",$F617*$J617)</f>
        <v/>
      </c>
      <c r="M617" s="41" t="str">
        <f aca="false">IF($A617="","",$K617-$L617)</f>
        <v/>
      </c>
    </row>
    <row r="618" customFormat="false" ht="15" hidden="false" customHeight="false" outlineLevel="0" collapsed="false">
      <c r="H618" s="8" t="str">
        <f aca="false">IF($A618="","",IFERROR(INDEX(Products!$B$2:$B$50,MATCH($E618,Products!$A$2:$A$50,0)),"Unmapped"))</f>
        <v/>
      </c>
      <c r="I618" s="41" t="str">
        <f aca="false">IF($A618="","",IFERROR(INDEX(Products!$C$2:$C$50,MATCH($E618,Products!$A$2:$A$50,0)),0))</f>
        <v/>
      </c>
      <c r="J618" s="41" t="str">
        <f aca="false">IF($A618="","",IFERROR(INDEX(Products!$D$2:$D$50,MATCH($E618,Products!$A$2:$A$50,0)),0))</f>
        <v/>
      </c>
      <c r="K618" s="41" t="str">
        <f aca="false">IF($A618="","",$F618*$I618*(1-$G618))</f>
        <v/>
      </c>
      <c r="L618" s="41" t="str">
        <f aca="false">IF($A618="","",$F618*$J618)</f>
        <v/>
      </c>
      <c r="M618" s="41" t="str">
        <f aca="false">IF($A618="","",$K618-$L618)</f>
        <v/>
      </c>
    </row>
    <row r="619" customFormat="false" ht="15" hidden="false" customHeight="false" outlineLevel="0" collapsed="false">
      <c r="H619" s="8" t="str">
        <f aca="false">IF($A619="","",IFERROR(INDEX(Products!$B$2:$B$50,MATCH($E619,Products!$A$2:$A$50,0)),"Unmapped"))</f>
        <v/>
      </c>
      <c r="I619" s="41" t="str">
        <f aca="false">IF($A619="","",IFERROR(INDEX(Products!$C$2:$C$50,MATCH($E619,Products!$A$2:$A$50,0)),0))</f>
        <v/>
      </c>
      <c r="J619" s="41" t="str">
        <f aca="false">IF($A619="","",IFERROR(INDEX(Products!$D$2:$D$50,MATCH($E619,Products!$A$2:$A$50,0)),0))</f>
        <v/>
      </c>
      <c r="K619" s="41" t="str">
        <f aca="false">IF($A619="","",$F619*$I619*(1-$G619))</f>
        <v/>
      </c>
      <c r="L619" s="41" t="str">
        <f aca="false">IF($A619="","",$F619*$J619)</f>
        <v/>
      </c>
      <c r="M619" s="41" t="str">
        <f aca="false">IF($A619="","",$K619-$L619)</f>
        <v/>
      </c>
    </row>
    <row r="620" customFormat="false" ht="15" hidden="false" customHeight="false" outlineLevel="0" collapsed="false">
      <c r="H620" s="8" t="str">
        <f aca="false">IF($A620="","",IFERROR(INDEX(Products!$B$2:$B$50,MATCH($E620,Products!$A$2:$A$50,0)),"Unmapped"))</f>
        <v/>
      </c>
      <c r="I620" s="41" t="str">
        <f aca="false">IF($A620="","",IFERROR(INDEX(Products!$C$2:$C$50,MATCH($E620,Products!$A$2:$A$50,0)),0))</f>
        <v/>
      </c>
      <c r="J620" s="41" t="str">
        <f aca="false">IF($A620="","",IFERROR(INDEX(Products!$D$2:$D$50,MATCH($E620,Products!$A$2:$A$50,0)),0))</f>
        <v/>
      </c>
      <c r="K620" s="41" t="str">
        <f aca="false">IF($A620="","",$F620*$I620*(1-$G620))</f>
        <v/>
      </c>
      <c r="L620" s="41" t="str">
        <f aca="false">IF($A620="","",$F620*$J620)</f>
        <v/>
      </c>
      <c r="M620" s="41" t="str">
        <f aca="false">IF($A620="","",$K620-$L620)</f>
        <v/>
      </c>
    </row>
    <row r="621" customFormat="false" ht="15" hidden="false" customHeight="false" outlineLevel="0" collapsed="false">
      <c r="H621" s="8" t="str">
        <f aca="false">IF($A621="","",IFERROR(INDEX(Products!$B$2:$B$50,MATCH($E621,Products!$A$2:$A$50,0)),"Unmapped"))</f>
        <v/>
      </c>
      <c r="I621" s="41" t="str">
        <f aca="false">IF($A621="","",IFERROR(INDEX(Products!$C$2:$C$50,MATCH($E621,Products!$A$2:$A$50,0)),0))</f>
        <v/>
      </c>
      <c r="J621" s="41" t="str">
        <f aca="false">IF($A621="","",IFERROR(INDEX(Products!$D$2:$D$50,MATCH($E621,Products!$A$2:$A$50,0)),0))</f>
        <v/>
      </c>
      <c r="K621" s="41" t="str">
        <f aca="false">IF($A621="","",$F621*$I621*(1-$G621))</f>
        <v/>
      </c>
      <c r="L621" s="41" t="str">
        <f aca="false">IF($A621="","",$F621*$J621)</f>
        <v/>
      </c>
      <c r="M621" s="41" t="str">
        <f aca="false">IF($A621="","",$K621-$L621)</f>
        <v/>
      </c>
    </row>
    <row r="622" customFormat="false" ht="15" hidden="false" customHeight="false" outlineLevel="0" collapsed="false">
      <c r="H622" s="8" t="str">
        <f aca="false">IF($A622="","",IFERROR(INDEX(Products!$B$2:$B$50,MATCH($E622,Products!$A$2:$A$50,0)),"Unmapped"))</f>
        <v/>
      </c>
      <c r="I622" s="41" t="str">
        <f aca="false">IF($A622="","",IFERROR(INDEX(Products!$C$2:$C$50,MATCH($E622,Products!$A$2:$A$50,0)),0))</f>
        <v/>
      </c>
      <c r="J622" s="41" t="str">
        <f aca="false">IF($A622="","",IFERROR(INDEX(Products!$D$2:$D$50,MATCH($E622,Products!$A$2:$A$50,0)),0))</f>
        <v/>
      </c>
      <c r="K622" s="41" t="str">
        <f aca="false">IF($A622="","",$F622*$I622*(1-$G622))</f>
        <v/>
      </c>
      <c r="L622" s="41" t="str">
        <f aca="false">IF($A622="","",$F622*$J622)</f>
        <v/>
      </c>
      <c r="M622" s="41" t="str">
        <f aca="false">IF($A622="","",$K622-$L622)</f>
        <v/>
      </c>
    </row>
    <row r="623" customFormat="false" ht="15" hidden="false" customHeight="false" outlineLevel="0" collapsed="false">
      <c r="H623" s="8" t="str">
        <f aca="false">IF($A623="","",IFERROR(INDEX(Products!$B$2:$B$50,MATCH($E623,Products!$A$2:$A$50,0)),"Unmapped"))</f>
        <v/>
      </c>
      <c r="I623" s="41" t="str">
        <f aca="false">IF($A623="","",IFERROR(INDEX(Products!$C$2:$C$50,MATCH($E623,Products!$A$2:$A$50,0)),0))</f>
        <v/>
      </c>
      <c r="J623" s="41" t="str">
        <f aca="false">IF($A623="","",IFERROR(INDEX(Products!$D$2:$D$50,MATCH($E623,Products!$A$2:$A$50,0)),0))</f>
        <v/>
      </c>
      <c r="K623" s="41" t="str">
        <f aca="false">IF($A623="","",$F623*$I623*(1-$G623))</f>
        <v/>
      </c>
      <c r="L623" s="41" t="str">
        <f aca="false">IF($A623="","",$F623*$J623)</f>
        <v/>
      </c>
      <c r="M623" s="41" t="str">
        <f aca="false">IF($A623="","",$K623-$L623)</f>
        <v/>
      </c>
    </row>
    <row r="624" customFormat="false" ht="15" hidden="false" customHeight="false" outlineLevel="0" collapsed="false">
      <c r="H624" s="8" t="str">
        <f aca="false">IF($A624="","",IFERROR(INDEX(Products!$B$2:$B$50,MATCH($E624,Products!$A$2:$A$50,0)),"Unmapped"))</f>
        <v/>
      </c>
      <c r="I624" s="41" t="str">
        <f aca="false">IF($A624="","",IFERROR(INDEX(Products!$C$2:$C$50,MATCH($E624,Products!$A$2:$A$50,0)),0))</f>
        <v/>
      </c>
      <c r="J624" s="41" t="str">
        <f aca="false">IF($A624="","",IFERROR(INDEX(Products!$D$2:$D$50,MATCH($E624,Products!$A$2:$A$50,0)),0))</f>
        <v/>
      </c>
      <c r="K624" s="41" t="str">
        <f aca="false">IF($A624="","",$F624*$I624*(1-$G624))</f>
        <v/>
      </c>
      <c r="L624" s="41" t="str">
        <f aca="false">IF($A624="","",$F624*$J624)</f>
        <v/>
      </c>
      <c r="M624" s="41" t="str">
        <f aca="false">IF($A624="","",$K624-$L624)</f>
        <v/>
      </c>
    </row>
    <row r="625" customFormat="false" ht="15" hidden="false" customHeight="false" outlineLevel="0" collapsed="false">
      <c r="H625" s="8" t="str">
        <f aca="false">IF($A625="","",IFERROR(INDEX(Products!$B$2:$B$50,MATCH($E625,Products!$A$2:$A$50,0)),"Unmapped"))</f>
        <v/>
      </c>
      <c r="I625" s="41" t="str">
        <f aca="false">IF($A625="","",IFERROR(INDEX(Products!$C$2:$C$50,MATCH($E625,Products!$A$2:$A$50,0)),0))</f>
        <v/>
      </c>
      <c r="J625" s="41" t="str">
        <f aca="false">IF($A625="","",IFERROR(INDEX(Products!$D$2:$D$50,MATCH($E625,Products!$A$2:$A$50,0)),0))</f>
        <v/>
      </c>
      <c r="K625" s="41" t="str">
        <f aca="false">IF($A625="","",$F625*$I625*(1-$G625))</f>
        <v/>
      </c>
      <c r="L625" s="41" t="str">
        <f aca="false">IF($A625="","",$F625*$J625)</f>
        <v/>
      </c>
      <c r="M625" s="41" t="str">
        <f aca="false">IF($A625="","",$K625-$L625)</f>
        <v/>
      </c>
    </row>
    <row r="626" customFormat="false" ht="15" hidden="false" customHeight="false" outlineLevel="0" collapsed="false">
      <c r="H626" s="8" t="str">
        <f aca="false">IF($A626="","",IFERROR(INDEX(Products!$B$2:$B$50,MATCH($E626,Products!$A$2:$A$50,0)),"Unmapped"))</f>
        <v/>
      </c>
      <c r="I626" s="41" t="str">
        <f aca="false">IF($A626="","",IFERROR(INDEX(Products!$C$2:$C$50,MATCH($E626,Products!$A$2:$A$50,0)),0))</f>
        <v/>
      </c>
      <c r="J626" s="41" t="str">
        <f aca="false">IF($A626="","",IFERROR(INDEX(Products!$D$2:$D$50,MATCH($E626,Products!$A$2:$A$50,0)),0))</f>
        <v/>
      </c>
      <c r="K626" s="41" t="str">
        <f aca="false">IF($A626="","",$F626*$I626*(1-$G626))</f>
        <v/>
      </c>
      <c r="L626" s="41" t="str">
        <f aca="false">IF($A626="","",$F626*$J626)</f>
        <v/>
      </c>
      <c r="M626" s="41" t="str">
        <f aca="false">IF($A626="","",$K626-$L626)</f>
        <v/>
      </c>
    </row>
    <row r="627" customFormat="false" ht="15" hidden="false" customHeight="false" outlineLevel="0" collapsed="false">
      <c r="H627" s="8" t="str">
        <f aca="false">IF($A627="","",IFERROR(INDEX(Products!$B$2:$B$50,MATCH($E627,Products!$A$2:$A$50,0)),"Unmapped"))</f>
        <v/>
      </c>
      <c r="I627" s="41" t="str">
        <f aca="false">IF($A627="","",IFERROR(INDEX(Products!$C$2:$C$50,MATCH($E627,Products!$A$2:$A$50,0)),0))</f>
        <v/>
      </c>
      <c r="J627" s="41" t="str">
        <f aca="false">IF($A627="","",IFERROR(INDEX(Products!$D$2:$D$50,MATCH($E627,Products!$A$2:$A$50,0)),0))</f>
        <v/>
      </c>
      <c r="K627" s="41" t="str">
        <f aca="false">IF($A627="","",$F627*$I627*(1-$G627))</f>
        <v/>
      </c>
      <c r="L627" s="41" t="str">
        <f aca="false">IF($A627="","",$F627*$J627)</f>
        <v/>
      </c>
      <c r="M627" s="41" t="str">
        <f aca="false">IF($A627="","",$K627-$L627)</f>
        <v/>
      </c>
    </row>
    <row r="628" customFormat="false" ht="15" hidden="false" customHeight="false" outlineLevel="0" collapsed="false">
      <c r="H628" s="8" t="str">
        <f aca="false">IF($A628="","",IFERROR(INDEX(Products!$B$2:$B$50,MATCH($E628,Products!$A$2:$A$50,0)),"Unmapped"))</f>
        <v/>
      </c>
      <c r="I628" s="41" t="str">
        <f aca="false">IF($A628="","",IFERROR(INDEX(Products!$C$2:$C$50,MATCH($E628,Products!$A$2:$A$50,0)),0))</f>
        <v/>
      </c>
      <c r="J628" s="41" t="str">
        <f aca="false">IF($A628="","",IFERROR(INDEX(Products!$D$2:$D$50,MATCH($E628,Products!$A$2:$A$50,0)),0))</f>
        <v/>
      </c>
      <c r="K628" s="41" t="str">
        <f aca="false">IF($A628="","",$F628*$I628*(1-$G628))</f>
        <v/>
      </c>
      <c r="L628" s="41" t="str">
        <f aca="false">IF($A628="","",$F628*$J628)</f>
        <v/>
      </c>
      <c r="M628" s="41" t="str">
        <f aca="false">IF($A628="","",$K628-$L628)</f>
        <v/>
      </c>
    </row>
    <row r="629" customFormat="false" ht="15" hidden="false" customHeight="false" outlineLevel="0" collapsed="false">
      <c r="H629" s="8" t="str">
        <f aca="false">IF($A629="","",IFERROR(INDEX(Products!$B$2:$B$50,MATCH($E629,Products!$A$2:$A$50,0)),"Unmapped"))</f>
        <v/>
      </c>
      <c r="I629" s="41" t="str">
        <f aca="false">IF($A629="","",IFERROR(INDEX(Products!$C$2:$C$50,MATCH($E629,Products!$A$2:$A$50,0)),0))</f>
        <v/>
      </c>
      <c r="J629" s="41" t="str">
        <f aca="false">IF($A629="","",IFERROR(INDEX(Products!$D$2:$D$50,MATCH($E629,Products!$A$2:$A$50,0)),0))</f>
        <v/>
      </c>
      <c r="K629" s="41" t="str">
        <f aca="false">IF($A629="","",$F629*$I629*(1-$G629))</f>
        <v/>
      </c>
      <c r="L629" s="41" t="str">
        <f aca="false">IF($A629="","",$F629*$J629)</f>
        <v/>
      </c>
      <c r="M629" s="41" t="str">
        <f aca="false">IF($A629="","",$K629-$L629)</f>
        <v/>
      </c>
    </row>
    <row r="630" customFormat="false" ht="15" hidden="false" customHeight="false" outlineLevel="0" collapsed="false">
      <c r="H630" s="8" t="str">
        <f aca="false">IF($A630="","",IFERROR(INDEX(Products!$B$2:$B$50,MATCH($E630,Products!$A$2:$A$50,0)),"Unmapped"))</f>
        <v/>
      </c>
      <c r="I630" s="41" t="str">
        <f aca="false">IF($A630="","",IFERROR(INDEX(Products!$C$2:$C$50,MATCH($E630,Products!$A$2:$A$50,0)),0))</f>
        <v/>
      </c>
      <c r="J630" s="41" t="str">
        <f aca="false">IF($A630="","",IFERROR(INDEX(Products!$D$2:$D$50,MATCH($E630,Products!$A$2:$A$50,0)),0))</f>
        <v/>
      </c>
      <c r="K630" s="41" t="str">
        <f aca="false">IF($A630="","",$F630*$I630*(1-$G630))</f>
        <v/>
      </c>
      <c r="L630" s="41" t="str">
        <f aca="false">IF($A630="","",$F630*$J630)</f>
        <v/>
      </c>
      <c r="M630" s="41" t="str">
        <f aca="false">IF($A630="","",$K630-$L630)</f>
        <v/>
      </c>
    </row>
    <row r="631" customFormat="false" ht="15" hidden="false" customHeight="false" outlineLevel="0" collapsed="false">
      <c r="H631" s="8" t="str">
        <f aca="false">IF($A631="","",IFERROR(INDEX(Products!$B$2:$B$50,MATCH($E631,Products!$A$2:$A$50,0)),"Unmapped"))</f>
        <v/>
      </c>
      <c r="I631" s="41" t="str">
        <f aca="false">IF($A631="","",IFERROR(INDEX(Products!$C$2:$C$50,MATCH($E631,Products!$A$2:$A$50,0)),0))</f>
        <v/>
      </c>
      <c r="J631" s="41" t="str">
        <f aca="false">IF($A631="","",IFERROR(INDEX(Products!$D$2:$D$50,MATCH($E631,Products!$A$2:$A$50,0)),0))</f>
        <v/>
      </c>
      <c r="K631" s="41" t="str">
        <f aca="false">IF($A631="","",$F631*$I631*(1-$G631))</f>
        <v/>
      </c>
      <c r="L631" s="41" t="str">
        <f aca="false">IF($A631="","",$F631*$J631)</f>
        <v/>
      </c>
      <c r="M631" s="41" t="str">
        <f aca="false">IF($A631="","",$K631-$L631)</f>
        <v/>
      </c>
    </row>
    <row r="632" customFormat="false" ht="15" hidden="false" customHeight="false" outlineLevel="0" collapsed="false">
      <c r="H632" s="8" t="str">
        <f aca="false">IF($A632="","",IFERROR(INDEX(Products!$B$2:$B$50,MATCH($E632,Products!$A$2:$A$50,0)),"Unmapped"))</f>
        <v/>
      </c>
      <c r="I632" s="41" t="str">
        <f aca="false">IF($A632="","",IFERROR(INDEX(Products!$C$2:$C$50,MATCH($E632,Products!$A$2:$A$50,0)),0))</f>
        <v/>
      </c>
      <c r="J632" s="41" t="str">
        <f aca="false">IF($A632="","",IFERROR(INDEX(Products!$D$2:$D$50,MATCH($E632,Products!$A$2:$A$50,0)),0))</f>
        <v/>
      </c>
      <c r="K632" s="41" t="str">
        <f aca="false">IF($A632="","",$F632*$I632*(1-$G632))</f>
        <v/>
      </c>
      <c r="L632" s="41" t="str">
        <f aca="false">IF($A632="","",$F632*$J632)</f>
        <v/>
      </c>
      <c r="M632" s="41" t="str">
        <f aca="false">IF($A632="","",$K632-$L632)</f>
        <v/>
      </c>
    </row>
    <row r="633" customFormat="false" ht="15" hidden="false" customHeight="false" outlineLevel="0" collapsed="false">
      <c r="H633" s="8" t="str">
        <f aca="false">IF($A633="","",IFERROR(INDEX(Products!$B$2:$B$50,MATCH($E633,Products!$A$2:$A$50,0)),"Unmapped"))</f>
        <v/>
      </c>
      <c r="I633" s="41" t="str">
        <f aca="false">IF($A633="","",IFERROR(INDEX(Products!$C$2:$C$50,MATCH($E633,Products!$A$2:$A$50,0)),0))</f>
        <v/>
      </c>
      <c r="J633" s="41" t="str">
        <f aca="false">IF($A633="","",IFERROR(INDEX(Products!$D$2:$D$50,MATCH($E633,Products!$A$2:$A$50,0)),0))</f>
        <v/>
      </c>
      <c r="K633" s="41" t="str">
        <f aca="false">IF($A633="","",$F633*$I633*(1-$G633))</f>
        <v/>
      </c>
      <c r="L633" s="41" t="str">
        <f aca="false">IF($A633="","",$F633*$J633)</f>
        <v/>
      </c>
      <c r="M633" s="41" t="str">
        <f aca="false">IF($A633="","",$K633-$L633)</f>
        <v/>
      </c>
    </row>
    <row r="634" customFormat="false" ht="15" hidden="false" customHeight="false" outlineLevel="0" collapsed="false">
      <c r="H634" s="8" t="str">
        <f aca="false">IF($A634="","",IFERROR(INDEX(Products!$B$2:$B$50,MATCH($E634,Products!$A$2:$A$50,0)),"Unmapped"))</f>
        <v/>
      </c>
      <c r="I634" s="41" t="str">
        <f aca="false">IF($A634="","",IFERROR(INDEX(Products!$C$2:$C$50,MATCH($E634,Products!$A$2:$A$50,0)),0))</f>
        <v/>
      </c>
      <c r="J634" s="41" t="str">
        <f aca="false">IF($A634="","",IFERROR(INDEX(Products!$D$2:$D$50,MATCH($E634,Products!$A$2:$A$50,0)),0))</f>
        <v/>
      </c>
      <c r="K634" s="41" t="str">
        <f aca="false">IF($A634="","",$F634*$I634*(1-$G634))</f>
        <v/>
      </c>
      <c r="L634" s="41" t="str">
        <f aca="false">IF($A634="","",$F634*$J634)</f>
        <v/>
      </c>
      <c r="M634" s="41" t="str">
        <f aca="false">IF($A634="","",$K634-$L634)</f>
        <v/>
      </c>
    </row>
    <row r="635" customFormat="false" ht="15" hidden="false" customHeight="false" outlineLevel="0" collapsed="false">
      <c r="H635" s="8" t="str">
        <f aca="false">IF($A635="","",IFERROR(INDEX(Products!$B$2:$B$50,MATCH($E635,Products!$A$2:$A$50,0)),"Unmapped"))</f>
        <v/>
      </c>
      <c r="I635" s="41" t="str">
        <f aca="false">IF($A635="","",IFERROR(INDEX(Products!$C$2:$C$50,MATCH($E635,Products!$A$2:$A$50,0)),0))</f>
        <v/>
      </c>
      <c r="J635" s="41" t="str">
        <f aca="false">IF($A635="","",IFERROR(INDEX(Products!$D$2:$D$50,MATCH($E635,Products!$A$2:$A$50,0)),0))</f>
        <v/>
      </c>
      <c r="K635" s="41" t="str">
        <f aca="false">IF($A635="","",$F635*$I635*(1-$G635))</f>
        <v/>
      </c>
      <c r="L635" s="41" t="str">
        <f aca="false">IF($A635="","",$F635*$J635)</f>
        <v/>
      </c>
      <c r="M635" s="41" t="str">
        <f aca="false">IF($A635="","",$K635-$L635)</f>
        <v/>
      </c>
    </row>
    <row r="636" customFormat="false" ht="15" hidden="false" customHeight="false" outlineLevel="0" collapsed="false">
      <c r="H636" s="8" t="str">
        <f aca="false">IF($A636="","",IFERROR(INDEX(Products!$B$2:$B$50,MATCH($E636,Products!$A$2:$A$50,0)),"Unmapped"))</f>
        <v/>
      </c>
      <c r="I636" s="41" t="str">
        <f aca="false">IF($A636="","",IFERROR(INDEX(Products!$C$2:$C$50,MATCH($E636,Products!$A$2:$A$50,0)),0))</f>
        <v/>
      </c>
      <c r="J636" s="41" t="str">
        <f aca="false">IF($A636="","",IFERROR(INDEX(Products!$D$2:$D$50,MATCH($E636,Products!$A$2:$A$50,0)),0))</f>
        <v/>
      </c>
      <c r="K636" s="41" t="str">
        <f aca="false">IF($A636="","",$F636*$I636*(1-$G636))</f>
        <v/>
      </c>
      <c r="L636" s="41" t="str">
        <f aca="false">IF($A636="","",$F636*$J636)</f>
        <v/>
      </c>
      <c r="M636" s="41" t="str">
        <f aca="false">IF($A636="","",$K636-$L636)</f>
        <v/>
      </c>
    </row>
    <row r="637" customFormat="false" ht="15" hidden="false" customHeight="false" outlineLevel="0" collapsed="false">
      <c r="H637" s="8" t="str">
        <f aca="false">IF($A637="","",IFERROR(INDEX(Products!$B$2:$B$50,MATCH($E637,Products!$A$2:$A$50,0)),"Unmapped"))</f>
        <v/>
      </c>
      <c r="I637" s="41" t="str">
        <f aca="false">IF($A637="","",IFERROR(INDEX(Products!$C$2:$C$50,MATCH($E637,Products!$A$2:$A$50,0)),0))</f>
        <v/>
      </c>
      <c r="J637" s="41" t="str">
        <f aca="false">IF($A637="","",IFERROR(INDEX(Products!$D$2:$D$50,MATCH($E637,Products!$A$2:$A$50,0)),0))</f>
        <v/>
      </c>
      <c r="K637" s="41" t="str">
        <f aca="false">IF($A637="","",$F637*$I637*(1-$G637))</f>
        <v/>
      </c>
      <c r="L637" s="41" t="str">
        <f aca="false">IF($A637="","",$F637*$J637)</f>
        <v/>
      </c>
      <c r="M637" s="41" t="str">
        <f aca="false">IF($A637="","",$K637-$L637)</f>
        <v/>
      </c>
    </row>
    <row r="638" customFormat="false" ht="15" hidden="false" customHeight="false" outlineLevel="0" collapsed="false">
      <c r="H638" s="8" t="str">
        <f aca="false">IF($A638="","",IFERROR(INDEX(Products!$B$2:$B$50,MATCH($E638,Products!$A$2:$A$50,0)),"Unmapped"))</f>
        <v/>
      </c>
      <c r="I638" s="41" t="str">
        <f aca="false">IF($A638="","",IFERROR(INDEX(Products!$C$2:$C$50,MATCH($E638,Products!$A$2:$A$50,0)),0))</f>
        <v/>
      </c>
      <c r="J638" s="41" t="str">
        <f aca="false">IF($A638="","",IFERROR(INDEX(Products!$D$2:$D$50,MATCH($E638,Products!$A$2:$A$50,0)),0))</f>
        <v/>
      </c>
      <c r="K638" s="41" t="str">
        <f aca="false">IF($A638="","",$F638*$I638*(1-$G638))</f>
        <v/>
      </c>
      <c r="L638" s="41" t="str">
        <f aca="false">IF($A638="","",$F638*$J638)</f>
        <v/>
      </c>
      <c r="M638" s="41" t="str">
        <f aca="false">IF($A638="","",$K638-$L638)</f>
        <v/>
      </c>
    </row>
    <row r="639" customFormat="false" ht="15" hidden="false" customHeight="false" outlineLevel="0" collapsed="false">
      <c r="H639" s="8" t="str">
        <f aca="false">IF($A639="","",IFERROR(INDEX(Products!$B$2:$B$50,MATCH($E639,Products!$A$2:$A$50,0)),"Unmapped"))</f>
        <v/>
      </c>
      <c r="I639" s="41" t="str">
        <f aca="false">IF($A639="","",IFERROR(INDEX(Products!$C$2:$C$50,MATCH($E639,Products!$A$2:$A$50,0)),0))</f>
        <v/>
      </c>
      <c r="J639" s="41" t="str">
        <f aca="false">IF($A639="","",IFERROR(INDEX(Products!$D$2:$D$50,MATCH($E639,Products!$A$2:$A$50,0)),0))</f>
        <v/>
      </c>
      <c r="K639" s="41" t="str">
        <f aca="false">IF($A639="","",$F639*$I639*(1-$G639))</f>
        <v/>
      </c>
      <c r="L639" s="41" t="str">
        <f aca="false">IF($A639="","",$F639*$J639)</f>
        <v/>
      </c>
      <c r="M639" s="41" t="str">
        <f aca="false">IF($A639="","",$K639-$L639)</f>
        <v/>
      </c>
    </row>
    <row r="640" customFormat="false" ht="15" hidden="false" customHeight="false" outlineLevel="0" collapsed="false">
      <c r="H640" s="8" t="str">
        <f aca="false">IF($A640="","",IFERROR(INDEX(Products!$B$2:$B$50,MATCH($E640,Products!$A$2:$A$50,0)),"Unmapped"))</f>
        <v/>
      </c>
      <c r="I640" s="41" t="str">
        <f aca="false">IF($A640="","",IFERROR(INDEX(Products!$C$2:$C$50,MATCH($E640,Products!$A$2:$A$50,0)),0))</f>
        <v/>
      </c>
      <c r="J640" s="41" t="str">
        <f aca="false">IF($A640="","",IFERROR(INDEX(Products!$D$2:$D$50,MATCH($E640,Products!$A$2:$A$50,0)),0))</f>
        <v/>
      </c>
      <c r="K640" s="41" t="str">
        <f aca="false">IF($A640="","",$F640*$I640*(1-$G640))</f>
        <v/>
      </c>
      <c r="L640" s="41" t="str">
        <f aca="false">IF($A640="","",$F640*$J640)</f>
        <v/>
      </c>
      <c r="M640" s="41" t="str">
        <f aca="false">IF($A640="","",$K640-$L640)</f>
        <v/>
      </c>
    </row>
    <row r="641" customFormat="false" ht="15" hidden="false" customHeight="false" outlineLevel="0" collapsed="false">
      <c r="H641" s="8" t="str">
        <f aca="false">IF($A641="","",IFERROR(INDEX(Products!$B$2:$B$50,MATCH($E641,Products!$A$2:$A$50,0)),"Unmapped"))</f>
        <v/>
      </c>
      <c r="I641" s="41" t="str">
        <f aca="false">IF($A641="","",IFERROR(INDEX(Products!$C$2:$C$50,MATCH($E641,Products!$A$2:$A$50,0)),0))</f>
        <v/>
      </c>
      <c r="J641" s="41" t="str">
        <f aca="false">IF($A641="","",IFERROR(INDEX(Products!$D$2:$D$50,MATCH($E641,Products!$A$2:$A$50,0)),0))</f>
        <v/>
      </c>
      <c r="K641" s="41" t="str">
        <f aca="false">IF($A641="","",$F641*$I641*(1-$G641))</f>
        <v/>
      </c>
      <c r="L641" s="41" t="str">
        <f aca="false">IF($A641="","",$F641*$J641)</f>
        <v/>
      </c>
      <c r="M641" s="41" t="str">
        <f aca="false">IF($A641="","",$K641-$L641)</f>
        <v/>
      </c>
    </row>
    <row r="642" customFormat="false" ht="15" hidden="false" customHeight="false" outlineLevel="0" collapsed="false">
      <c r="H642" s="8" t="str">
        <f aca="false">IF($A642="","",IFERROR(INDEX(Products!$B$2:$B$50,MATCH($E642,Products!$A$2:$A$50,0)),"Unmapped"))</f>
        <v/>
      </c>
      <c r="I642" s="41" t="str">
        <f aca="false">IF($A642="","",IFERROR(INDEX(Products!$C$2:$C$50,MATCH($E642,Products!$A$2:$A$50,0)),0))</f>
        <v/>
      </c>
      <c r="J642" s="41" t="str">
        <f aca="false">IF($A642="","",IFERROR(INDEX(Products!$D$2:$D$50,MATCH($E642,Products!$A$2:$A$50,0)),0))</f>
        <v/>
      </c>
      <c r="K642" s="41" t="str">
        <f aca="false">IF($A642="","",$F642*$I642*(1-$G642))</f>
        <v/>
      </c>
      <c r="L642" s="41" t="str">
        <f aca="false">IF($A642="","",$F642*$J642)</f>
        <v/>
      </c>
      <c r="M642" s="41" t="str">
        <f aca="false">IF($A642="","",$K642-$L642)</f>
        <v/>
      </c>
    </row>
    <row r="643" customFormat="false" ht="15" hidden="false" customHeight="false" outlineLevel="0" collapsed="false">
      <c r="H643" s="8" t="str">
        <f aca="false">IF($A643="","",IFERROR(INDEX(Products!$B$2:$B$50,MATCH($E643,Products!$A$2:$A$50,0)),"Unmapped"))</f>
        <v/>
      </c>
      <c r="I643" s="41" t="str">
        <f aca="false">IF($A643="","",IFERROR(INDEX(Products!$C$2:$C$50,MATCH($E643,Products!$A$2:$A$50,0)),0))</f>
        <v/>
      </c>
      <c r="J643" s="41" t="str">
        <f aca="false">IF($A643="","",IFERROR(INDEX(Products!$D$2:$D$50,MATCH($E643,Products!$A$2:$A$50,0)),0))</f>
        <v/>
      </c>
      <c r="K643" s="41" t="str">
        <f aca="false">IF($A643="","",$F643*$I643*(1-$G643))</f>
        <v/>
      </c>
      <c r="L643" s="41" t="str">
        <f aca="false">IF($A643="","",$F643*$J643)</f>
        <v/>
      </c>
      <c r="M643" s="41" t="str">
        <f aca="false">IF($A643="","",$K643-$L643)</f>
        <v/>
      </c>
    </row>
    <row r="644" customFormat="false" ht="15" hidden="false" customHeight="false" outlineLevel="0" collapsed="false">
      <c r="H644" s="8" t="str">
        <f aca="false">IF($A644="","",IFERROR(INDEX(Products!$B$2:$B$50,MATCH($E644,Products!$A$2:$A$50,0)),"Unmapped"))</f>
        <v/>
      </c>
      <c r="I644" s="41" t="str">
        <f aca="false">IF($A644="","",IFERROR(INDEX(Products!$C$2:$C$50,MATCH($E644,Products!$A$2:$A$50,0)),0))</f>
        <v/>
      </c>
      <c r="J644" s="41" t="str">
        <f aca="false">IF($A644="","",IFERROR(INDEX(Products!$D$2:$D$50,MATCH($E644,Products!$A$2:$A$50,0)),0))</f>
        <v/>
      </c>
      <c r="K644" s="41" t="str">
        <f aca="false">IF($A644="","",$F644*$I644*(1-$G644))</f>
        <v/>
      </c>
      <c r="L644" s="41" t="str">
        <f aca="false">IF($A644="","",$F644*$J644)</f>
        <v/>
      </c>
      <c r="M644" s="41" t="str">
        <f aca="false">IF($A644="","",$K644-$L644)</f>
        <v/>
      </c>
    </row>
    <row r="645" customFormat="false" ht="15" hidden="false" customHeight="false" outlineLevel="0" collapsed="false">
      <c r="H645" s="8" t="str">
        <f aca="false">IF($A645="","",IFERROR(INDEX(Products!$B$2:$B$50,MATCH($E645,Products!$A$2:$A$50,0)),"Unmapped"))</f>
        <v/>
      </c>
      <c r="I645" s="41" t="str">
        <f aca="false">IF($A645="","",IFERROR(INDEX(Products!$C$2:$C$50,MATCH($E645,Products!$A$2:$A$50,0)),0))</f>
        <v/>
      </c>
      <c r="J645" s="41" t="str">
        <f aca="false">IF($A645="","",IFERROR(INDEX(Products!$D$2:$D$50,MATCH($E645,Products!$A$2:$A$50,0)),0))</f>
        <v/>
      </c>
      <c r="K645" s="41" t="str">
        <f aca="false">IF($A645="","",$F645*$I645*(1-$G645))</f>
        <v/>
      </c>
      <c r="L645" s="41" t="str">
        <f aca="false">IF($A645="","",$F645*$J645)</f>
        <v/>
      </c>
      <c r="M645" s="41" t="str">
        <f aca="false">IF($A645="","",$K645-$L645)</f>
        <v/>
      </c>
    </row>
    <row r="646" customFormat="false" ht="15" hidden="false" customHeight="false" outlineLevel="0" collapsed="false">
      <c r="H646" s="8" t="str">
        <f aca="false">IF($A646="","",IFERROR(INDEX(Products!$B$2:$B$50,MATCH($E646,Products!$A$2:$A$50,0)),"Unmapped"))</f>
        <v/>
      </c>
      <c r="I646" s="41" t="str">
        <f aca="false">IF($A646="","",IFERROR(INDEX(Products!$C$2:$C$50,MATCH($E646,Products!$A$2:$A$50,0)),0))</f>
        <v/>
      </c>
      <c r="J646" s="41" t="str">
        <f aca="false">IF($A646="","",IFERROR(INDEX(Products!$D$2:$D$50,MATCH($E646,Products!$A$2:$A$50,0)),0))</f>
        <v/>
      </c>
      <c r="K646" s="41" t="str">
        <f aca="false">IF($A646="","",$F646*$I646*(1-$G646))</f>
        <v/>
      </c>
      <c r="L646" s="41" t="str">
        <f aca="false">IF($A646="","",$F646*$J646)</f>
        <v/>
      </c>
      <c r="M646" s="41" t="str">
        <f aca="false">IF($A646="","",$K646-$L646)</f>
        <v/>
      </c>
    </row>
    <row r="647" customFormat="false" ht="15" hidden="false" customHeight="false" outlineLevel="0" collapsed="false">
      <c r="H647" s="8" t="str">
        <f aca="false">IF($A647="","",IFERROR(INDEX(Products!$B$2:$B$50,MATCH($E647,Products!$A$2:$A$50,0)),"Unmapped"))</f>
        <v/>
      </c>
      <c r="I647" s="41" t="str">
        <f aca="false">IF($A647="","",IFERROR(INDEX(Products!$C$2:$C$50,MATCH($E647,Products!$A$2:$A$50,0)),0))</f>
        <v/>
      </c>
      <c r="J647" s="41" t="str">
        <f aca="false">IF($A647="","",IFERROR(INDEX(Products!$D$2:$D$50,MATCH($E647,Products!$A$2:$A$50,0)),0))</f>
        <v/>
      </c>
      <c r="K647" s="41" t="str">
        <f aca="false">IF($A647="","",$F647*$I647*(1-$G647))</f>
        <v/>
      </c>
      <c r="L647" s="41" t="str">
        <f aca="false">IF($A647="","",$F647*$J647)</f>
        <v/>
      </c>
      <c r="M647" s="41" t="str">
        <f aca="false">IF($A647="","",$K647-$L647)</f>
        <v/>
      </c>
    </row>
    <row r="648" customFormat="false" ht="15" hidden="false" customHeight="false" outlineLevel="0" collapsed="false">
      <c r="H648" s="8" t="str">
        <f aca="false">IF($A648="","",IFERROR(INDEX(Products!$B$2:$B$50,MATCH($E648,Products!$A$2:$A$50,0)),"Unmapped"))</f>
        <v/>
      </c>
      <c r="I648" s="41" t="str">
        <f aca="false">IF($A648="","",IFERROR(INDEX(Products!$C$2:$C$50,MATCH($E648,Products!$A$2:$A$50,0)),0))</f>
        <v/>
      </c>
      <c r="J648" s="41" t="str">
        <f aca="false">IF($A648="","",IFERROR(INDEX(Products!$D$2:$D$50,MATCH($E648,Products!$A$2:$A$50,0)),0))</f>
        <v/>
      </c>
      <c r="K648" s="41" t="str">
        <f aca="false">IF($A648="","",$F648*$I648*(1-$G648))</f>
        <v/>
      </c>
      <c r="L648" s="41" t="str">
        <f aca="false">IF($A648="","",$F648*$J648)</f>
        <v/>
      </c>
      <c r="M648" s="41" t="str">
        <f aca="false">IF($A648="","",$K648-$L648)</f>
        <v/>
      </c>
    </row>
    <row r="649" customFormat="false" ht="15" hidden="false" customHeight="false" outlineLevel="0" collapsed="false">
      <c r="H649" s="8" t="str">
        <f aca="false">IF($A649="","",IFERROR(INDEX(Products!$B$2:$B$50,MATCH($E649,Products!$A$2:$A$50,0)),"Unmapped"))</f>
        <v/>
      </c>
      <c r="I649" s="41" t="str">
        <f aca="false">IF($A649="","",IFERROR(INDEX(Products!$C$2:$C$50,MATCH($E649,Products!$A$2:$A$50,0)),0))</f>
        <v/>
      </c>
      <c r="J649" s="41" t="str">
        <f aca="false">IF($A649="","",IFERROR(INDEX(Products!$D$2:$D$50,MATCH($E649,Products!$A$2:$A$50,0)),0))</f>
        <v/>
      </c>
      <c r="K649" s="41" t="str">
        <f aca="false">IF($A649="","",$F649*$I649*(1-$G649))</f>
        <v/>
      </c>
      <c r="L649" s="41" t="str">
        <f aca="false">IF($A649="","",$F649*$J649)</f>
        <v/>
      </c>
      <c r="M649" s="41" t="str">
        <f aca="false">IF($A649="","",$K649-$L649)</f>
        <v/>
      </c>
    </row>
    <row r="650" customFormat="false" ht="15" hidden="false" customHeight="false" outlineLevel="0" collapsed="false">
      <c r="H650" s="8" t="str">
        <f aca="false">IF($A650="","",IFERROR(INDEX(Products!$B$2:$B$50,MATCH($E650,Products!$A$2:$A$50,0)),"Unmapped"))</f>
        <v/>
      </c>
      <c r="I650" s="41" t="str">
        <f aca="false">IF($A650="","",IFERROR(INDEX(Products!$C$2:$C$50,MATCH($E650,Products!$A$2:$A$50,0)),0))</f>
        <v/>
      </c>
      <c r="J650" s="41" t="str">
        <f aca="false">IF($A650="","",IFERROR(INDEX(Products!$D$2:$D$50,MATCH($E650,Products!$A$2:$A$50,0)),0))</f>
        <v/>
      </c>
      <c r="K650" s="41" t="str">
        <f aca="false">IF($A650="","",$F650*$I650*(1-$G650))</f>
        <v/>
      </c>
      <c r="L650" s="41" t="str">
        <f aca="false">IF($A650="","",$F650*$J650)</f>
        <v/>
      </c>
      <c r="M650" s="41" t="str">
        <f aca="false">IF($A650="","",$K650-$L650)</f>
        <v/>
      </c>
    </row>
    <row r="651" customFormat="false" ht="15" hidden="false" customHeight="false" outlineLevel="0" collapsed="false">
      <c r="H651" s="8" t="str">
        <f aca="false">IF($A651="","",IFERROR(INDEX(Products!$B$2:$B$50,MATCH($E651,Products!$A$2:$A$50,0)),"Unmapped"))</f>
        <v/>
      </c>
      <c r="I651" s="41" t="str">
        <f aca="false">IF($A651="","",IFERROR(INDEX(Products!$C$2:$C$50,MATCH($E651,Products!$A$2:$A$50,0)),0))</f>
        <v/>
      </c>
      <c r="J651" s="41" t="str">
        <f aca="false">IF($A651="","",IFERROR(INDEX(Products!$D$2:$D$50,MATCH($E651,Products!$A$2:$A$50,0)),0))</f>
        <v/>
      </c>
      <c r="K651" s="41" t="str">
        <f aca="false">IF($A651="","",$F651*$I651*(1-$G651))</f>
        <v/>
      </c>
      <c r="L651" s="41" t="str">
        <f aca="false">IF($A651="","",$F651*$J651)</f>
        <v/>
      </c>
      <c r="M651" s="41" t="str">
        <f aca="false">IF($A651="","",$K651-$L651)</f>
        <v/>
      </c>
    </row>
    <row r="652" customFormat="false" ht="15" hidden="false" customHeight="false" outlineLevel="0" collapsed="false">
      <c r="H652" s="8" t="str">
        <f aca="false">IF($A652="","",IFERROR(INDEX(Products!$B$2:$B$50,MATCH($E652,Products!$A$2:$A$50,0)),"Unmapped"))</f>
        <v/>
      </c>
      <c r="I652" s="41" t="str">
        <f aca="false">IF($A652="","",IFERROR(INDEX(Products!$C$2:$C$50,MATCH($E652,Products!$A$2:$A$50,0)),0))</f>
        <v/>
      </c>
      <c r="J652" s="41" t="str">
        <f aca="false">IF($A652="","",IFERROR(INDEX(Products!$D$2:$D$50,MATCH($E652,Products!$A$2:$A$50,0)),0))</f>
        <v/>
      </c>
      <c r="K652" s="41" t="str">
        <f aca="false">IF($A652="","",$F652*$I652*(1-$G652))</f>
        <v/>
      </c>
      <c r="L652" s="41" t="str">
        <f aca="false">IF($A652="","",$F652*$J652)</f>
        <v/>
      </c>
      <c r="M652" s="41" t="str">
        <f aca="false">IF($A652="","",$K652-$L652)</f>
        <v/>
      </c>
    </row>
    <row r="653" customFormat="false" ht="15" hidden="false" customHeight="false" outlineLevel="0" collapsed="false">
      <c r="H653" s="8" t="str">
        <f aca="false">IF($A653="","",IFERROR(INDEX(Products!$B$2:$B$50,MATCH($E653,Products!$A$2:$A$50,0)),"Unmapped"))</f>
        <v/>
      </c>
      <c r="I653" s="41" t="str">
        <f aca="false">IF($A653="","",IFERROR(INDEX(Products!$C$2:$C$50,MATCH($E653,Products!$A$2:$A$50,0)),0))</f>
        <v/>
      </c>
      <c r="J653" s="41" t="str">
        <f aca="false">IF($A653="","",IFERROR(INDEX(Products!$D$2:$D$50,MATCH($E653,Products!$A$2:$A$50,0)),0))</f>
        <v/>
      </c>
      <c r="K653" s="41" t="str">
        <f aca="false">IF($A653="","",$F653*$I653*(1-$G653))</f>
        <v/>
      </c>
      <c r="L653" s="41" t="str">
        <f aca="false">IF($A653="","",$F653*$J653)</f>
        <v/>
      </c>
      <c r="M653" s="41" t="str">
        <f aca="false">IF($A653="","",$K653-$L653)</f>
        <v/>
      </c>
    </row>
    <row r="654" customFormat="false" ht="15" hidden="false" customHeight="false" outlineLevel="0" collapsed="false">
      <c r="H654" s="8" t="str">
        <f aca="false">IF($A654="","",IFERROR(INDEX(Products!$B$2:$B$50,MATCH($E654,Products!$A$2:$A$50,0)),"Unmapped"))</f>
        <v/>
      </c>
      <c r="I654" s="41" t="str">
        <f aca="false">IF($A654="","",IFERROR(INDEX(Products!$C$2:$C$50,MATCH($E654,Products!$A$2:$A$50,0)),0))</f>
        <v/>
      </c>
      <c r="J654" s="41" t="str">
        <f aca="false">IF($A654="","",IFERROR(INDEX(Products!$D$2:$D$50,MATCH($E654,Products!$A$2:$A$50,0)),0))</f>
        <v/>
      </c>
      <c r="K654" s="41" t="str">
        <f aca="false">IF($A654="","",$F654*$I654*(1-$G654))</f>
        <v/>
      </c>
      <c r="L654" s="41" t="str">
        <f aca="false">IF($A654="","",$F654*$J654)</f>
        <v/>
      </c>
      <c r="M654" s="41" t="str">
        <f aca="false">IF($A654="","",$K654-$L654)</f>
        <v/>
      </c>
    </row>
    <row r="655" customFormat="false" ht="15" hidden="false" customHeight="false" outlineLevel="0" collapsed="false">
      <c r="H655" s="8" t="str">
        <f aca="false">IF($A655="","",IFERROR(INDEX(Products!$B$2:$B$50,MATCH($E655,Products!$A$2:$A$50,0)),"Unmapped"))</f>
        <v/>
      </c>
      <c r="I655" s="41" t="str">
        <f aca="false">IF($A655="","",IFERROR(INDEX(Products!$C$2:$C$50,MATCH($E655,Products!$A$2:$A$50,0)),0))</f>
        <v/>
      </c>
      <c r="J655" s="41" t="str">
        <f aca="false">IF($A655="","",IFERROR(INDEX(Products!$D$2:$D$50,MATCH($E655,Products!$A$2:$A$50,0)),0))</f>
        <v/>
      </c>
      <c r="K655" s="41" t="str">
        <f aca="false">IF($A655="","",$F655*$I655*(1-$G655))</f>
        <v/>
      </c>
      <c r="L655" s="41" t="str">
        <f aca="false">IF($A655="","",$F655*$J655)</f>
        <v/>
      </c>
      <c r="M655" s="41" t="str">
        <f aca="false">IF($A655="","",$K655-$L655)</f>
        <v/>
      </c>
    </row>
    <row r="656" customFormat="false" ht="15" hidden="false" customHeight="false" outlineLevel="0" collapsed="false">
      <c r="H656" s="8" t="str">
        <f aca="false">IF($A656="","",IFERROR(INDEX(Products!$B$2:$B$50,MATCH($E656,Products!$A$2:$A$50,0)),"Unmapped"))</f>
        <v/>
      </c>
      <c r="I656" s="41" t="str">
        <f aca="false">IF($A656="","",IFERROR(INDEX(Products!$C$2:$C$50,MATCH($E656,Products!$A$2:$A$50,0)),0))</f>
        <v/>
      </c>
      <c r="J656" s="41" t="str">
        <f aca="false">IF($A656="","",IFERROR(INDEX(Products!$D$2:$D$50,MATCH($E656,Products!$A$2:$A$50,0)),0))</f>
        <v/>
      </c>
      <c r="K656" s="41" t="str">
        <f aca="false">IF($A656="","",$F656*$I656*(1-$G656))</f>
        <v/>
      </c>
      <c r="L656" s="41" t="str">
        <f aca="false">IF($A656="","",$F656*$J656)</f>
        <v/>
      </c>
      <c r="M656" s="41" t="str">
        <f aca="false">IF($A656="","",$K656-$L656)</f>
        <v/>
      </c>
    </row>
    <row r="657" customFormat="false" ht="15" hidden="false" customHeight="false" outlineLevel="0" collapsed="false">
      <c r="H657" s="8" t="str">
        <f aca="false">IF($A657="","",IFERROR(INDEX(Products!$B$2:$B$50,MATCH($E657,Products!$A$2:$A$50,0)),"Unmapped"))</f>
        <v/>
      </c>
      <c r="I657" s="41" t="str">
        <f aca="false">IF($A657="","",IFERROR(INDEX(Products!$C$2:$C$50,MATCH($E657,Products!$A$2:$A$50,0)),0))</f>
        <v/>
      </c>
      <c r="J657" s="41" t="str">
        <f aca="false">IF($A657="","",IFERROR(INDEX(Products!$D$2:$D$50,MATCH($E657,Products!$A$2:$A$50,0)),0))</f>
        <v/>
      </c>
      <c r="K657" s="41" t="str">
        <f aca="false">IF($A657="","",$F657*$I657*(1-$G657))</f>
        <v/>
      </c>
      <c r="L657" s="41" t="str">
        <f aca="false">IF($A657="","",$F657*$J657)</f>
        <v/>
      </c>
      <c r="M657" s="41" t="str">
        <f aca="false">IF($A657="","",$K657-$L657)</f>
        <v/>
      </c>
    </row>
    <row r="658" customFormat="false" ht="15" hidden="false" customHeight="false" outlineLevel="0" collapsed="false">
      <c r="H658" s="8" t="str">
        <f aca="false">IF($A658="","",IFERROR(INDEX(Products!$B$2:$B$50,MATCH($E658,Products!$A$2:$A$50,0)),"Unmapped"))</f>
        <v/>
      </c>
      <c r="I658" s="41" t="str">
        <f aca="false">IF($A658="","",IFERROR(INDEX(Products!$C$2:$C$50,MATCH($E658,Products!$A$2:$A$50,0)),0))</f>
        <v/>
      </c>
      <c r="J658" s="41" t="str">
        <f aca="false">IF($A658="","",IFERROR(INDEX(Products!$D$2:$D$50,MATCH($E658,Products!$A$2:$A$50,0)),0))</f>
        <v/>
      </c>
      <c r="K658" s="41" t="str">
        <f aca="false">IF($A658="","",$F658*$I658*(1-$G658))</f>
        <v/>
      </c>
      <c r="L658" s="41" t="str">
        <f aca="false">IF($A658="","",$F658*$J658)</f>
        <v/>
      </c>
      <c r="M658" s="41" t="str">
        <f aca="false">IF($A658="","",$K658-$L658)</f>
        <v/>
      </c>
    </row>
    <row r="659" customFormat="false" ht="15" hidden="false" customHeight="false" outlineLevel="0" collapsed="false">
      <c r="H659" s="8" t="str">
        <f aca="false">IF($A659="","",IFERROR(INDEX(Products!$B$2:$B$50,MATCH($E659,Products!$A$2:$A$50,0)),"Unmapped"))</f>
        <v/>
      </c>
      <c r="I659" s="41" t="str">
        <f aca="false">IF($A659="","",IFERROR(INDEX(Products!$C$2:$C$50,MATCH($E659,Products!$A$2:$A$50,0)),0))</f>
        <v/>
      </c>
      <c r="J659" s="41" t="str">
        <f aca="false">IF($A659="","",IFERROR(INDEX(Products!$D$2:$D$50,MATCH($E659,Products!$A$2:$A$50,0)),0))</f>
        <v/>
      </c>
      <c r="K659" s="41" t="str">
        <f aca="false">IF($A659="","",$F659*$I659*(1-$G659))</f>
        <v/>
      </c>
      <c r="L659" s="41" t="str">
        <f aca="false">IF($A659="","",$F659*$J659)</f>
        <v/>
      </c>
      <c r="M659" s="41" t="str">
        <f aca="false">IF($A659="","",$K659-$L659)</f>
        <v/>
      </c>
    </row>
    <row r="660" customFormat="false" ht="15" hidden="false" customHeight="false" outlineLevel="0" collapsed="false">
      <c r="H660" s="8" t="str">
        <f aca="false">IF($A660="","",IFERROR(INDEX(Products!$B$2:$B$50,MATCH($E660,Products!$A$2:$A$50,0)),"Unmapped"))</f>
        <v/>
      </c>
      <c r="I660" s="41" t="str">
        <f aca="false">IF($A660="","",IFERROR(INDEX(Products!$C$2:$C$50,MATCH($E660,Products!$A$2:$A$50,0)),0))</f>
        <v/>
      </c>
      <c r="J660" s="41" t="str">
        <f aca="false">IF($A660="","",IFERROR(INDEX(Products!$D$2:$D$50,MATCH($E660,Products!$A$2:$A$50,0)),0))</f>
        <v/>
      </c>
      <c r="K660" s="41" t="str">
        <f aca="false">IF($A660="","",$F660*$I660*(1-$G660))</f>
        <v/>
      </c>
      <c r="L660" s="41" t="str">
        <f aca="false">IF($A660="","",$F660*$J660)</f>
        <v/>
      </c>
      <c r="M660" s="41" t="str">
        <f aca="false">IF($A660="","",$K660-$L660)</f>
        <v/>
      </c>
    </row>
    <row r="661" customFormat="false" ht="15" hidden="false" customHeight="false" outlineLevel="0" collapsed="false">
      <c r="H661" s="8" t="str">
        <f aca="false">IF($A661="","",IFERROR(INDEX(Products!$B$2:$B$50,MATCH($E661,Products!$A$2:$A$50,0)),"Unmapped"))</f>
        <v/>
      </c>
      <c r="I661" s="41" t="str">
        <f aca="false">IF($A661="","",IFERROR(INDEX(Products!$C$2:$C$50,MATCH($E661,Products!$A$2:$A$50,0)),0))</f>
        <v/>
      </c>
      <c r="J661" s="41" t="str">
        <f aca="false">IF($A661="","",IFERROR(INDEX(Products!$D$2:$D$50,MATCH($E661,Products!$A$2:$A$50,0)),0))</f>
        <v/>
      </c>
      <c r="K661" s="41" t="str">
        <f aca="false">IF($A661="","",$F661*$I661*(1-$G661))</f>
        <v/>
      </c>
      <c r="L661" s="41" t="str">
        <f aca="false">IF($A661="","",$F661*$J661)</f>
        <v/>
      </c>
      <c r="M661" s="41" t="str">
        <f aca="false">IF($A661="","",$K661-$L661)</f>
        <v/>
      </c>
    </row>
    <row r="662" customFormat="false" ht="15" hidden="false" customHeight="false" outlineLevel="0" collapsed="false">
      <c r="H662" s="8" t="str">
        <f aca="false">IF($A662="","",IFERROR(INDEX(Products!$B$2:$B$50,MATCH($E662,Products!$A$2:$A$50,0)),"Unmapped"))</f>
        <v/>
      </c>
      <c r="I662" s="41" t="str">
        <f aca="false">IF($A662="","",IFERROR(INDEX(Products!$C$2:$C$50,MATCH($E662,Products!$A$2:$A$50,0)),0))</f>
        <v/>
      </c>
      <c r="J662" s="41" t="str">
        <f aca="false">IF($A662="","",IFERROR(INDEX(Products!$D$2:$D$50,MATCH($E662,Products!$A$2:$A$50,0)),0))</f>
        <v/>
      </c>
      <c r="K662" s="41" t="str">
        <f aca="false">IF($A662="","",$F662*$I662*(1-$G662))</f>
        <v/>
      </c>
      <c r="L662" s="41" t="str">
        <f aca="false">IF($A662="","",$F662*$J662)</f>
        <v/>
      </c>
      <c r="M662" s="41" t="str">
        <f aca="false">IF($A662="","",$K662-$L662)</f>
        <v/>
      </c>
    </row>
    <row r="663" customFormat="false" ht="15" hidden="false" customHeight="false" outlineLevel="0" collapsed="false">
      <c r="H663" s="8" t="str">
        <f aca="false">IF($A663="","",IFERROR(INDEX(Products!$B$2:$B$50,MATCH($E663,Products!$A$2:$A$50,0)),"Unmapped"))</f>
        <v/>
      </c>
      <c r="I663" s="41" t="str">
        <f aca="false">IF($A663="","",IFERROR(INDEX(Products!$C$2:$C$50,MATCH($E663,Products!$A$2:$A$50,0)),0))</f>
        <v/>
      </c>
      <c r="J663" s="41" t="str">
        <f aca="false">IF($A663="","",IFERROR(INDEX(Products!$D$2:$D$50,MATCH($E663,Products!$A$2:$A$50,0)),0))</f>
        <v/>
      </c>
      <c r="K663" s="41" t="str">
        <f aca="false">IF($A663="","",$F663*$I663*(1-$G663))</f>
        <v/>
      </c>
      <c r="L663" s="41" t="str">
        <f aca="false">IF($A663="","",$F663*$J663)</f>
        <v/>
      </c>
      <c r="M663" s="41" t="str">
        <f aca="false">IF($A663="","",$K663-$L663)</f>
        <v/>
      </c>
    </row>
    <row r="664" customFormat="false" ht="15" hidden="false" customHeight="false" outlineLevel="0" collapsed="false">
      <c r="H664" s="8" t="str">
        <f aca="false">IF($A664="","",IFERROR(INDEX(Products!$B$2:$B$50,MATCH($E664,Products!$A$2:$A$50,0)),"Unmapped"))</f>
        <v/>
      </c>
      <c r="I664" s="41" t="str">
        <f aca="false">IF($A664="","",IFERROR(INDEX(Products!$C$2:$C$50,MATCH($E664,Products!$A$2:$A$50,0)),0))</f>
        <v/>
      </c>
      <c r="J664" s="41" t="str">
        <f aca="false">IF($A664="","",IFERROR(INDEX(Products!$D$2:$D$50,MATCH($E664,Products!$A$2:$A$50,0)),0))</f>
        <v/>
      </c>
      <c r="K664" s="41" t="str">
        <f aca="false">IF($A664="","",$F664*$I664*(1-$G664))</f>
        <v/>
      </c>
      <c r="L664" s="41" t="str">
        <f aca="false">IF($A664="","",$F664*$J664)</f>
        <v/>
      </c>
      <c r="M664" s="41" t="str">
        <f aca="false">IF($A664="","",$K664-$L664)</f>
        <v/>
      </c>
    </row>
    <row r="665" customFormat="false" ht="15" hidden="false" customHeight="false" outlineLevel="0" collapsed="false">
      <c r="H665" s="8" t="str">
        <f aca="false">IF($A665="","",IFERROR(INDEX(Products!$B$2:$B$50,MATCH($E665,Products!$A$2:$A$50,0)),"Unmapped"))</f>
        <v/>
      </c>
      <c r="I665" s="41" t="str">
        <f aca="false">IF($A665="","",IFERROR(INDEX(Products!$C$2:$C$50,MATCH($E665,Products!$A$2:$A$50,0)),0))</f>
        <v/>
      </c>
      <c r="J665" s="41" t="str">
        <f aca="false">IF($A665="","",IFERROR(INDEX(Products!$D$2:$D$50,MATCH($E665,Products!$A$2:$A$50,0)),0))</f>
        <v/>
      </c>
      <c r="K665" s="41" t="str">
        <f aca="false">IF($A665="","",$F665*$I665*(1-$G665))</f>
        <v/>
      </c>
      <c r="L665" s="41" t="str">
        <f aca="false">IF($A665="","",$F665*$J665)</f>
        <v/>
      </c>
      <c r="M665" s="41" t="str">
        <f aca="false">IF($A665="","",$K665-$L665)</f>
        <v/>
      </c>
    </row>
    <row r="666" customFormat="false" ht="15" hidden="false" customHeight="false" outlineLevel="0" collapsed="false">
      <c r="H666" s="8" t="str">
        <f aca="false">IF($A666="","",IFERROR(INDEX(Products!$B$2:$B$50,MATCH($E666,Products!$A$2:$A$50,0)),"Unmapped"))</f>
        <v/>
      </c>
      <c r="I666" s="41" t="str">
        <f aca="false">IF($A666="","",IFERROR(INDEX(Products!$C$2:$C$50,MATCH($E666,Products!$A$2:$A$50,0)),0))</f>
        <v/>
      </c>
      <c r="J666" s="41" t="str">
        <f aca="false">IF($A666="","",IFERROR(INDEX(Products!$D$2:$D$50,MATCH($E666,Products!$A$2:$A$50,0)),0))</f>
        <v/>
      </c>
      <c r="K666" s="41" t="str">
        <f aca="false">IF($A666="","",$F666*$I666*(1-$G666))</f>
        <v/>
      </c>
      <c r="L666" s="41" t="str">
        <f aca="false">IF($A666="","",$F666*$J666)</f>
        <v/>
      </c>
      <c r="M666" s="41" t="str">
        <f aca="false">IF($A666="","",$K666-$L666)</f>
        <v/>
      </c>
    </row>
    <row r="667" customFormat="false" ht="15" hidden="false" customHeight="false" outlineLevel="0" collapsed="false">
      <c r="H667" s="8" t="str">
        <f aca="false">IF($A667="","",IFERROR(INDEX(Products!$B$2:$B$50,MATCH($E667,Products!$A$2:$A$50,0)),"Unmapped"))</f>
        <v/>
      </c>
      <c r="I667" s="41" t="str">
        <f aca="false">IF($A667="","",IFERROR(INDEX(Products!$C$2:$C$50,MATCH($E667,Products!$A$2:$A$50,0)),0))</f>
        <v/>
      </c>
      <c r="J667" s="41" t="str">
        <f aca="false">IF($A667="","",IFERROR(INDEX(Products!$D$2:$D$50,MATCH($E667,Products!$A$2:$A$50,0)),0))</f>
        <v/>
      </c>
      <c r="K667" s="41" t="str">
        <f aca="false">IF($A667="","",$F667*$I667*(1-$G667))</f>
        <v/>
      </c>
      <c r="L667" s="41" t="str">
        <f aca="false">IF($A667="","",$F667*$J667)</f>
        <v/>
      </c>
      <c r="M667" s="41" t="str">
        <f aca="false">IF($A667="","",$K667-$L667)</f>
        <v/>
      </c>
    </row>
    <row r="668" customFormat="false" ht="15" hidden="false" customHeight="false" outlineLevel="0" collapsed="false">
      <c r="H668" s="8" t="str">
        <f aca="false">IF($A668="","",IFERROR(INDEX(Products!$B$2:$B$50,MATCH($E668,Products!$A$2:$A$50,0)),"Unmapped"))</f>
        <v/>
      </c>
      <c r="I668" s="41" t="str">
        <f aca="false">IF($A668="","",IFERROR(INDEX(Products!$C$2:$C$50,MATCH($E668,Products!$A$2:$A$50,0)),0))</f>
        <v/>
      </c>
      <c r="J668" s="41" t="str">
        <f aca="false">IF($A668="","",IFERROR(INDEX(Products!$D$2:$D$50,MATCH($E668,Products!$A$2:$A$50,0)),0))</f>
        <v/>
      </c>
      <c r="K668" s="41" t="str">
        <f aca="false">IF($A668="","",$F668*$I668*(1-$G668))</f>
        <v/>
      </c>
      <c r="L668" s="41" t="str">
        <f aca="false">IF($A668="","",$F668*$J668)</f>
        <v/>
      </c>
      <c r="M668" s="41" t="str">
        <f aca="false">IF($A668="","",$K668-$L668)</f>
        <v/>
      </c>
    </row>
    <row r="669" customFormat="false" ht="15" hidden="false" customHeight="false" outlineLevel="0" collapsed="false">
      <c r="H669" s="8" t="str">
        <f aca="false">IF($A669="","",IFERROR(INDEX(Products!$B$2:$B$50,MATCH($E669,Products!$A$2:$A$50,0)),"Unmapped"))</f>
        <v/>
      </c>
      <c r="I669" s="41" t="str">
        <f aca="false">IF($A669="","",IFERROR(INDEX(Products!$C$2:$C$50,MATCH($E669,Products!$A$2:$A$50,0)),0))</f>
        <v/>
      </c>
      <c r="J669" s="41" t="str">
        <f aca="false">IF($A669="","",IFERROR(INDEX(Products!$D$2:$D$50,MATCH($E669,Products!$A$2:$A$50,0)),0))</f>
        <v/>
      </c>
      <c r="K669" s="41" t="str">
        <f aca="false">IF($A669="","",$F669*$I669*(1-$G669))</f>
        <v/>
      </c>
      <c r="L669" s="41" t="str">
        <f aca="false">IF($A669="","",$F669*$J669)</f>
        <v/>
      </c>
      <c r="M669" s="41" t="str">
        <f aca="false">IF($A669="","",$K669-$L669)</f>
        <v/>
      </c>
    </row>
    <row r="670" customFormat="false" ht="15" hidden="false" customHeight="false" outlineLevel="0" collapsed="false">
      <c r="H670" s="8" t="str">
        <f aca="false">IF($A670="","",IFERROR(INDEX(Products!$B$2:$B$50,MATCH($E670,Products!$A$2:$A$50,0)),"Unmapped"))</f>
        <v/>
      </c>
      <c r="I670" s="41" t="str">
        <f aca="false">IF($A670="","",IFERROR(INDEX(Products!$C$2:$C$50,MATCH($E670,Products!$A$2:$A$50,0)),0))</f>
        <v/>
      </c>
      <c r="J670" s="41" t="str">
        <f aca="false">IF($A670="","",IFERROR(INDEX(Products!$D$2:$D$50,MATCH($E670,Products!$A$2:$A$50,0)),0))</f>
        <v/>
      </c>
      <c r="K670" s="41" t="str">
        <f aca="false">IF($A670="","",$F670*$I670*(1-$G670))</f>
        <v/>
      </c>
      <c r="L670" s="41" t="str">
        <f aca="false">IF($A670="","",$F670*$J670)</f>
        <v/>
      </c>
      <c r="M670" s="41" t="str">
        <f aca="false">IF($A670="","",$K670-$L670)</f>
        <v/>
      </c>
    </row>
    <row r="671" customFormat="false" ht="15" hidden="false" customHeight="false" outlineLevel="0" collapsed="false">
      <c r="H671" s="8" t="str">
        <f aca="false">IF($A671="","",IFERROR(INDEX(Products!$B$2:$B$50,MATCH($E671,Products!$A$2:$A$50,0)),"Unmapped"))</f>
        <v/>
      </c>
      <c r="I671" s="41" t="str">
        <f aca="false">IF($A671="","",IFERROR(INDEX(Products!$C$2:$C$50,MATCH($E671,Products!$A$2:$A$50,0)),0))</f>
        <v/>
      </c>
      <c r="J671" s="41" t="str">
        <f aca="false">IF($A671="","",IFERROR(INDEX(Products!$D$2:$D$50,MATCH($E671,Products!$A$2:$A$50,0)),0))</f>
        <v/>
      </c>
      <c r="K671" s="41" t="str">
        <f aca="false">IF($A671="","",$F671*$I671*(1-$G671))</f>
        <v/>
      </c>
      <c r="L671" s="41" t="str">
        <f aca="false">IF($A671="","",$F671*$J671)</f>
        <v/>
      </c>
      <c r="M671" s="41" t="str">
        <f aca="false">IF($A671="","",$K671-$L671)</f>
        <v/>
      </c>
    </row>
    <row r="672" customFormat="false" ht="15" hidden="false" customHeight="false" outlineLevel="0" collapsed="false">
      <c r="H672" s="8" t="str">
        <f aca="false">IF($A672="","",IFERROR(INDEX(Products!$B$2:$B$50,MATCH($E672,Products!$A$2:$A$50,0)),"Unmapped"))</f>
        <v/>
      </c>
      <c r="I672" s="41" t="str">
        <f aca="false">IF($A672="","",IFERROR(INDEX(Products!$C$2:$C$50,MATCH($E672,Products!$A$2:$A$50,0)),0))</f>
        <v/>
      </c>
      <c r="J672" s="41" t="str">
        <f aca="false">IF($A672="","",IFERROR(INDEX(Products!$D$2:$D$50,MATCH($E672,Products!$A$2:$A$50,0)),0))</f>
        <v/>
      </c>
      <c r="K672" s="41" t="str">
        <f aca="false">IF($A672="","",$F672*$I672*(1-$G672))</f>
        <v/>
      </c>
      <c r="L672" s="41" t="str">
        <f aca="false">IF($A672="","",$F672*$J672)</f>
        <v/>
      </c>
      <c r="M672" s="41" t="str">
        <f aca="false">IF($A672="","",$K672-$L672)</f>
        <v/>
      </c>
    </row>
    <row r="673" customFormat="false" ht="15" hidden="false" customHeight="false" outlineLevel="0" collapsed="false">
      <c r="H673" s="8" t="str">
        <f aca="false">IF($A673="","",IFERROR(INDEX(Products!$B$2:$B$50,MATCH($E673,Products!$A$2:$A$50,0)),"Unmapped"))</f>
        <v/>
      </c>
      <c r="I673" s="41" t="str">
        <f aca="false">IF($A673="","",IFERROR(INDEX(Products!$C$2:$C$50,MATCH($E673,Products!$A$2:$A$50,0)),0))</f>
        <v/>
      </c>
      <c r="J673" s="41" t="str">
        <f aca="false">IF($A673="","",IFERROR(INDEX(Products!$D$2:$D$50,MATCH($E673,Products!$A$2:$A$50,0)),0))</f>
        <v/>
      </c>
      <c r="K673" s="41" t="str">
        <f aca="false">IF($A673="","",$F673*$I673*(1-$G673))</f>
        <v/>
      </c>
      <c r="L673" s="41" t="str">
        <f aca="false">IF($A673="","",$F673*$J673)</f>
        <v/>
      </c>
      <c r="M673" s="41" t="str">
        <f aca="false">IF($A673="","",$K673-$L673)</f>
        <v/>
      </c>
    </row>
    <row r="674" customFormat="false" ht="15" hidden="false" customHeight="false" outlineLevel="0" collapsed="false">
      <c r="H674" s="8" t="str">
        <f aca="false">IF($A674="","",IFERROR(INDEX(Products!$B$2:$B$50,MATCH($E674,Products!$A$2:$A$50,0)),"Unmapped"))</f>
        <v/>
      </c>
      <c r="I674" s="41" t="str">
        <f aca="false">IF($A674="","",IFERROR(INDEX(Products!$C$2:$C$50,MATCH($E674,Products!$A$2:$A$50,0)),0))</f>
        <v/>
      </c>
      <c r="J674" s="41" t="str">
        <f aca="false">IF($A674="","",IFERROR(INDEX(Products!$D$2:$D$50,MATCH($E674,Products!$A$2:$A$50,0)),0))</f>
        <v/>
      </c>
      <c r="K674" s="41" t="str">
        <f aca="false">IF($A674="","",$F674*$I674*(1-$G674))</f>
        <v/>
      </c>
      <c r="L674" s="41" t="str">
        <f aca="false">IF($A674="","",$F674*$J674)</f>
        <v/>
      </c>
      <c r="M674" s="41" t="str">
        <f aca="false">IF($A674="","",$K674-$L674)</f>
        <v/>
      </c>
    </row>
    <row r="675" customFormat="false" ht="15" hidden="false" customHeight="false" outlineLevel="0" collapsed="false">
      <c r="H675" s="8" t="str">
        <f aca="false">IF($A675="","",IFERROR(INDEX(Products!$B$2:$B$50,MATCH($E675,Products!$A$2:$A$50,0)),"Unmapped"))</f>
        <v/>
      </c>
      <c r="I675" s="41" t="str">
        <f aca="false">IF($A675="","",IFERROR(INDEX(Products!$C$2:$C$50,MATCH($E675,Products!$A$2:$A$50,0)),0))</f>
        <v/>
      </c>
      <c r="J675" s="41" t="str">
        <f aca="false">IF($A675="","",IFERROR(INDEX(Products!$D$2:$D$50,MATCH($E675,Products!$A$2:$A$50,0)),0))</f>
        <v/>
      </c>
      <c r="K675" s="41" t="str">
        <f aca="false">IF($A675="","",$F675*$I675*(1-$G675))</f>
        <v/>
      </c>
      <c r="L675" s="41" t="str">
        <f aca="false">IF($A675="","",$F675*$J675)</f>
        <v/>
      </c>
      <c r="M675" s="41" t="str">
        <f aca="false">IF($A675="","",$K675-$L675)</f>
        <v/>
      </c>
    </row>
    <row r="676" customFormat="false" ht="15" hidden="false" customHeight="false" outlineLevel="0" collapsed="false">
      <c r="H676" s="8" t="str">
        <f aca="false">IF($A676="","",IFERROR(INDEX(Products!$B$2:$B$50,MATCH($E676,Products!$A$2:$A$50,0)),"Unmapped"))</f>
        <v/>
      </c>
      <c r="I676" s="41" t="str">
        <f aca="false">IF($A676="","",IFERROR(INDEX(Products!$C$2:$C$50,MATCH($E676,Products!$A$2:$A$50,0)),0))</f>
        <v/>
      </c>
      <c r="J676" s="41" t="str">
        <f aca="false">IF($A676="","",IFERROR(INDEX(Products!$D$2:$D$50,MATCH($E676,Products!$A$2:$A$50,0)),0))</f>
        <v/>
      </c>
      <c r="K676" s="41" t="str">
        <f aca="false">IF($A676="","",$F676*$I676*(1-$G676))</f>
        <v/>
      </c>
      <c r="L676" s="41" t="str">
        <f aca="false">IF($A676="","",$F676*$J676)</f>
        <v/>
      </c>
      <c r="M676" s="41" t="str">
        <f aca="false">IF($A676="","",$K676-$L676)</f>
        <v/>
      </c>
    </row>
    <row r="677" customFormat="false" ht="15" hidden="false" customHeight="false" outlineLevel="0" collapsed="false">
      <c r="H677" s="8" t="str">
        <f aca="false">IF($A677="","",IFERROR(INDEX(Products!$B$2:$B$50,MATCH($E677,Products!$A$2:$A$50,0)),"Unmapped"))</f>
        <v/>
      </c>
      <c r="I677" s="41" t="str">
        <f aca="false">IF($A677="","",IFERROR(INDEX(Products!$C$2:$C$50,MATCH($E677,Products!$A$2:$A$50,0)),0))</f>
        <v/>
      </c>
      <c r="J677" s="41" t="str">
        <f aca="false">IF($A677="","",IFERROR(INDEX(Products!$D$2:$D$50,MATCH($E677,Products!$A$2:$A$50,0)),0))</f>
        <v/>
      </c>
      <c r="K677" s="41" t="str">
        <f aca="false">IF($A677="","",$F677*$I677*(1-$G677))</f>
        <v/>
      </c>
      <c r="L677" s="41" t="str">
        <f aca="false">IF($A677="","",$F677*$J677)</f>
        <v/>
      </c>
      <c r="M677" s="41" t="str">
        <f aca="false">IF($A677="","",$K677-$L677)</f>
        <v/>
      </c>
    </row>
    <row r="678" customFormat="false" ht="15" hidden="false" customHeight="false" outlineLevel="0" collapsed="false">
      <c r="H678" s="8" t="str">
        <f aca="false">IF($A678="","",IFERROR(INDEX(Products!$B$2:$B$50,MATCH($E678,Products!$A$2:$A$50,0)),"Unmapped"))</f>
        <v/>
      </c>
      <c r="I678" s="41" t="str">
        <f aca="false">IF($A678="","",IFERROR(INDEX(Products!$C$2:$C$50,MATCH($E678,Products!$A$2:$A$50,0)),0))</f>
        <v/>
      </c>
      <c r="J678" s="41" t="str">
        <f aca="false">IF($A678="","",IFERROR(INDEX(Products!$D$2:$D$50,MATCH($E678,Products!$A$2:$A$50,0)),0))</f>
        <v/>
      </c>
      <c r="K678" s="41" t="str">
        <f aca="false">IF($A678="","",$F678*$I678*(1-$G678))</f>
        <v/>
      </c>
      <c r="L678" s="41" t="str">
        <f aca="false">IF($A678="","",$F678*$J678)</f>
        <v/>
      </c>
      <c r="M678" s="41" t="str">
        <f aca="false">IF($A678="","",$K678-$L678)</f>
        <v/>
      </c>
    </row>
    <row r="679" customFormat="false" ht="15" hidden="false" customHeight="false" outlineLevel="0" collapsed="false">
      <c r="H679" s="8" t="str">
        <f aca="false">IF($A679="","",IFERROR(INDEX(Products!$B$2:$B$50,MATCH($E679,Products!$A$2:$A$50,0)),"Unmapped"))</f>
        <v/>
      </c>
      <c r="I679" s="41" t="str">
        <f aca="false">IF($A679="","",IFERROR(INDEX(Products!$C$2:$C$50,MATCH($E679,Products!$A$2:$A$50,0)),0))</f>
        <v/>
      </c>
      <c r="J679" s="41" t="str">
        <f aca="false">IF($A679="","",IFERROR(INDEX(Products!$D$2:$D$50,MATCH($E679,Products!$A$2:$A$50,0)),0))</f>
        <v/>
      </c>
      <c r="K679" s="41" t="str">
        <f aca="false">IF($A679="","",$F679*$I679*(1-$G679))</f>
        <v/>
      </c>
      <c r="L679" s="41" t="str">
        <f aca="false">IF($A679="","",$F679*$J679)</f>
        <v/>
      </c>
      <c r="M679" s="41" t="str">
        <f aca="false">IF($A679="","",$K679-$L679)</f>
        <v/>
      </c>
    </row>
    <row r="680" customFormat="false" ht="15" hidden="false" customHeight="false" outlineLevel="0" collapsed="false">
      <c r="H680" s="8" t="str">
        <f aca="false">IF($A680="","",IFERROR(INDEX(Products!$B$2:$B$50,MATCH($E680,Products!$A$2:$A$50,0)),"Unmapped"))</f>
        <v/>
      </c>
      <c r="I680" s="41" t="str">
        <f aca="false">IF($A680="","",IFERROR(INDEX(Products!$C$2:$C$50,MATCH($E680,Products!$A$2:$A$50,0)),0))</f>
        <v/>
      </c>
      <c r="J680" s="41" t="str">
        <f aca="false">IF($A680="","",IFERROR(INDEX(Products!$D$2:$D$50,MATCH($E680,Products!$A$2:$A$50,0)),0))</f>
        <v/>
      </c>
      <c r="K680" s="41" t="str">
        <f aca="false">IF($A680="","",$F680*$I680*(1-$G680))</f>
        <v/>
      </c>
      <c r="L680" s="41" t="str">
        <f aca="false">IF($A680="","",$F680*$J680)</f>
        <v/>
      </c>
      <c r="M680" s="41" t="str">
        <f aca="false">IF($A680="","",$K680-$L680)</f>
        <v/>
      </c>
    </row>
    <row r="681" customFormat="false" ht="15" hidden="false" customHeight="false" outlineLevel="0" collapsed="false">
      <c r="H681" s="8" t="str">
        <f aca="false">IF($A681="","",IFERROR(INDEX(Products!$B$2:$B$50,MATCH($E681,Products!$A$2:$A$50,0)),"Unmapped"))</f>
        <v/>
      </c>
      <c r="I681" s="41" t="str">
        <f aca="false">IF($A681="","",IFERROR(INDEX(Products!$C$2:$C$50,MATCH($E681,Products!$A$2:$A$50,0)),0))</f>
        <v/>
      </c>
      <c r="J681" s="41" t="str">
        <f aca="false">IF($A681="","",IFERROR(INDEX(Products!$D$2:$D$50,MATCH($E681,Products!$A$2:$A$50,0)),0))</f>
        <v/>
      </c>
      <c r="K681" s="41" t="str">
        <f aca="false">IF($A681="","",$F681*$I681*(1-$G681))</f>
        <v/>
      </c>
      <c r="L681" s="41" t="str">
        <f aca="false">IF($A681="","",$F681*$J681)</f>
        <v/>
      </c>
      <c r="M681" s="41" t="str">
        <f aca="false">IF($A681="","",$K681-$L681)</f>
        <v/>
      </c>
    </row>
    <row r="682" customFormat="false" ht="15" hidden="false" customHeight="false" outlineLevel="0" collapsed="false">
      <c r="H682" s="8" t="str">
        <f aca="false">IF($A682="","",IFERROR(INDEX(Products!$B$2:$B$50,MATCH($E682,Products!$A$2:$A$50,0)),"Unmapped"))</f>
        <v/>
      </c>
      <c r="I682" s="41" t="str">
        <f aca="false">IF($A682="","",IFERROR(INDEX(Products!$C$2:$C$50,MATCH($E682,Products!$A$2:$A$50,0)),0))</f>
        <v/>
      </c>
      <c r="J682" s="41" t="str">
        <f aca="false">IF($A682="","",IFERROR(INDEX(Products!$D$2:$D$50,MATCH($E682,Products!$A$2:$A$50,0)),0))</f>
        <v/>
      </c>
      <c r="K682" s="41" t="str">
        <f aca="false">IF($A682="","",$F682*$I682*(1-$G682))</f>
        <v/>
      </c>
      <c r="L682" s="41" t="str">
        <f aca="false">IF($A682="","",$F682*$J682)</f>
        <v/>
      </c>
      <c r="M682" s="41" t="str">
        <f aca="false">IF($A682="","",$K682-$L682)</f>
        <v/>
      </c>
    </row>
    <row r="683" customFormat="false" ht="15" hidden="false" customHeight="false" outlineLevel="0" collapsed="false">
      <c r="H683" s="8" t="str">
        <f aca="false">IF($A683="","",IFERROR(INDEX(Products!$B$2:$B$50,MATCH($E683,Products!$A$2:$A$50,0)),"Unmapped"))</f>
        <v/>
      </c>
      <c r="I683" s="41" t="str">
        <f aca="false">IF($A683="","",IFERROR(INDEX(Products!$C$2:$C$50,MATCH($E683,Products!$A$2:$A$50,0)),0))</f>
        <v/>
      </c>
      <c r="J683" s="41" t="str">
        <f aca="false">IF($A683="","",IFERROR(INDEX(Products!$D$2:$D$50,MATCH($E683,Products!$A$2:$A$50,0)),0))</f>
        <v/>
      </c>
      <c r="K683" s="41" t="str">
        <f aca="false">IF($A683="","",$F683*$I683*(1-$G683))</f>
        <v/>
      </c>
      <c r="L683" s="41" t="str">
        <f aca="false">IF($A683="","",$F683*$J683)</f>
        <v/>
      </c>
      <c r="M683" s="41" t="str">
        <f aca="false">IF($A683="","",$K683-$L683)</f>
        <v/>
      </c>
    </row>
    <row r="684" customFormat="false" ht="15" hidden="false" customHeight="false" outlineLevel="0" collapsed="false">
      <c r="H684" s="8" t="str">
        <f aca="false">IF($A684="","",IFERROR(INDEX(Products!$B$2:$B$50,MATCH($E684,Products!$A$2:$A$50,0)),"Unmapped"))</f>
        <v/>
      </c>
      <c r="I684" s="41" t="str">
        <f aca="false">IF($A684="","",IFERROR(INDEX(Products!$C$2:$C$50,MATCH($E684,Products!$A$2:$A$50,0)),0))</f>
        <v/>
      </c>
      <c r="J684" s="41" t="str">
        <f aca="false">IF($A684="","",IFERROR(INDEX(Products!$D$2:$D$50,MATCH($E684,Products!$A$2:$A$50,0)),0))</f>
        <v/>
      </c>
      <c r="K684" s="41" t="str">
        <f aca="false">IF($A684="","",$F684*$I684*(1-$G684))</f>
        <v/>
      </c>
      <c r="L684" s="41" t="str">
        <f aca="false">IF($A684="","",$F684*$J684)</f>
        <v/>
      </c>
      <c r="M684" s="41" t="str">
        <f aca="false">IF($A684="","",$K684-$L684)</f>
        <v/>
      </c>
    </row>
    <row r="685" customFormat="false" ht="15" hidden="false" customHeight="false" outlineLevel="0" collapsed="false">
      <c r="H685" s="8" t="str">
        <f aca="false">IF($A685="","",IFERROR(INDEX(Products!$B$2:$B$50,MATCH($E685,Products!$A$2:$A$50,0)),"Unmapped"))</f>
        <v/>
      </c>
      <c r="I685" s="41" t="str">
        <f aca="false">IF($A685="","",IFERROR(INDEX(Products!$C$2:$C$50,MATCH($E685,Products!$A$2:$A$50,0)),0))</f>
        <v/>
      </c>
      <c r="J685" s="41" t="str">
        <f aca="false">IF($A685="","",IFERROR(INDEX(Products!$D$2:$D$50,MATCH($E685,Products!$A$2:$A$50,0)),0))</f>
        <v/>
      </c>
      <c r="K685" s="41" t="str">
        <f aca="false">IF($A685="","",$F685*$I685*(1-$G685))</f>
        <v/>
      </c>
      <c r="L685" s="41" t="str">
        <f aca="false">IF($A685="","",$F685*$J685)</f>
        <v/>
      </c>
      <c r="M685" s="41" t="str">
        <f aca="false">IF($A685="","",$K685-$L685)</f>
        <v/>
      </c>
    </row>
    <row r="686" customFormat="false" ht="15" hidden="false" customHeight="false" outlineLevel="0" collapsed="false">
      <c r="H686" s="8" t="str">
        <f aca="false">IF($A686="","",IFERROR(INDEX(Products!$B$2:$B$50,MATCH($E686,Products!$A$2:$A$50,0)),"Unmapped"))</f>
        <v/>
      </c>
      <c r="I686" s="41" t="str">
        <f aca="false">IF($A686="","",IFERROR(INDEX(Products!$C$2:$C$50,MATCH($E686,Products!$A$2:$A$50,0)),0))</f>
        <v/>
      </c>
      <c r="J686" s="41" t="str">
        <f aca="false">IF($A686="","",IFERROR(INDEX(Products!$D$2:$D$50,MATCH($E686,Products!$A$2:$A$50,0)),0))</f>
        <v/>
      </c>
      <c r="K686" s="41" t="str">
        <f aca="false">IF($A686="","",$F686*$I686*(1-$G686))</f>
        <v/>
      </c>
      <c r="L686" s="41" t="str">
        <f aca="false">IF($A686="","",$F686*$J686)</f>
        <v/>
      </c>
      <c r="M686" s="41" t="str">
        <f aca="false">IF($A686="","",$K686-$L686)</f>
        <v/>
      </c>
    </row>
    <row r="687" customFormat="false" ht="15" hidden="false" customHeight="false" outlineLevel="0" collapsed="false">
      <c r="H687" s="8" t="str">
        <f aca="false">IF($A687="","",IFERROR(INDEX(Products!$B$2:$B$50,MATCH($E687,Products!$A$2:$A$50,0)),"Unmapped"))</f>
        <v/>
      </c>
      <c r="I687" s="41" t="str">
        <f aca="false">IF($A687="","",IFERROR(INDEX(Products!$C$2:$C$50,MATCH($E687,Products!$A$2:$A$50,0)),0))</f>
        <v/>
      </c>
      <c r="J687" s="41" t="str">
        <f aca="false">IF($A687="","",IFERROR(INDEX(Products!$D$2:$D$50,MATCH($E687,Products!$A$2:$A$50,0)),0))</f>
        <v/>
      </c>
      <c r="K687" s="41" t="str">
        <f aca="false">IF($A687="","",$F687*$I687*(1-$G687))</f>
        <v/>
      </c>
      <c r="L687" s="41" t="str">
        <f aca="false">IF($A687="","",$F687*$J687)</f>
        <v/>
      </c>
      <c r="M687" s="41" t="str">
        <f aca="false">IF($A687="","",$K687-$L687)</f>
        <v/>
      </c>
    </row>
    <row r="688" customFormat="false" ht="15" hidden="false" customHeight="false" outlineLevel="0" collapsed="false">
      <c r="H688" s="8" t="str">
        <f aca="false">IF($A688="","",IFERROR(INDEX(Products!$B$2:$B$50,MATCH($E688,Products!$A$2:$A$50,0)),"Unmapped"))</f>
        <v/>
      </c>
      <c r="I688" s="41" t="str">
        <f aca="false">IF($A688="","",IFERROR(INDEX(Products!$C$2:$C$50,MATCH($E688,Products!$A$2:$A$50,0)),0))</f>
        <v/>
      </c>
      <c r="J688" s="41" t="str">
        <f aca="false">IF($A688="","",IFERROR(INDEX(Products!$D$2:$D$50,MATCH($E688,Products!$A$2:$A$50,0)),0))</f>
        <v/>
      </c>
      <c r="K688" s="41" t="str">
        <f aca="false">IF($A688="","",$F688*$I688*(1-$G688))</f>
        <v/>
      </c>
      <c r="L688" s="41" t="str">
        <f aca="false">IF($A688="","",$F688*$J688)</f>
        <v/>
      </c>
      <c r="M688" s="41" t="str">
        <f aca="false">IF($A688="","",$K688-$L688)</f>
        <v/>
      </c>
    </row>
    <row r="689" customFormat="false" ht="15" hidden="false" customHeight="false" outlineLevel="0" collapsed="false">
      <c r="H689" s="8" t="str">
        <f aca="false">IF($A689="","",IFERROR(INDEX(Products!$B$2:$B$50,MATCH($E689,Products!$A$2:$A$50,0)),"Unmapped"))</f>
        <v/>
      </c>
      <c r="I689" s="41" t="str">
        <f aca="false">IF($A689="","",IFERROR(INDEX(Products!$C$2:$C$50,MATCH($E689,Products!$A$2:$A$50,0)),0))</f>
        <v/>
      </c>
      <c r="J689" s="41" t="str">
        <f aca="false">IF($A689="","",IFERROR(INDEX(Products!$D$2:$D$50,MATCH($E689,Products!$A$2:$A$50,0)),0))</f>
        <v/>
      </c>
      <c r="K689" s="41" t="str">
        <f aca="false">IF($A689="","",$F689*$I689*(1-$G689))</f>
        <v/>
      </c>
      <c r="L689" s="41" t="str">
        <f aca="false">IF($A689="","",$F689*$J689)</f>
        <v/>
      </c>
      <c r="M689" s="41" t="str">
        <f aca="false">IF($A689="","",$K689-$L689)</f>
        <v/>
      </c>
    </row>
    <row r="690" customFormat="false" ht="15" hidden="false" customHeight="false" outlineLevel="0" collapsed="false">
      <c r="H690" s="8" t="str">
        <f aca="false">IF($A690="","",IFERROR(INDEX(Products!$B$2:$B$50,MATCH($E690,Products!$A$2:$A$50,0)),"Unmapped"))</f>
        <v/>
      </c>
      <c r="I690" s="41" t="str">
        <f aca="false">IF($A690="","",IFERROR(INDEX(Products!$C$2:$C$50,MATCH($E690,Products!$A$2:$A$50,0)),0))</f>
        <v/>
      </c>
      <c r="J690" s="41" t="str">
        <f aca="false">IF($A690="","",IFERROR(INDEX(Products!$D$2:$D$50,MATCH($E690,Products!$A$2:$A$50,0)),0))</f>
        <v/>
      </c>
      <c r="K690" s="41" t="str">
        <f aca="false">IF($A690="","",$F690*$I690*(1-$G690))</f>
        <v/>
      </c>
      <c r="L690" s="41" t="str">
        <f aca="false">IF($A690="","",$F690*$J690)</f>
        <v/>
      </c>
      <c r="M690" s="41" t="str">
        <f aca="false">IF($A690="","",$K690-$L690)</f>
        <v/>
      </c>
    </row>
    <row r="691" customFormat="false" ht="15" hidden="false" customHeight="false" outlineLevel="0" collapsed="false">
      <c r="H691" s="8" t="str">
        <f aca="false">IF($A691="","",IFERROR(INDEX(Products!$B$2:$B$50,MATCH($E691,Products!$A$2:$A$50,0)),"Unmapped"))</f>
        <v/>
      </c>
      <c r="I691" s="41" t="str">
        <f aca="false">IF($A691="","",IFERROR(INDEX(Products!$C$2:$C$50,MATCH($E691,Products!$A$2:$A$50,0)),0))</f>
        <v/>
      </c>
      <c r="J691" s="41" t="str">
        <f aca="false">IF($A691="","",IFERROR(INDEX(Products!$D$2:$D$50,MATCH($E691,Products!$A$2:$A$50,0)),0))</f>
        <v/>
      </c>
      <c r="K691" s="41" t="str">
        <f aca="false">IF($A691="","",$F691*$I691*(1-$G691))</f>
        <v/>
      </c>
      <c r="L691" s="41" t="str">
        <f aca="false">IF($A691="","",$F691*$J691)</f>
        <v/>
      </c>
      <c r="M691" s="41" t="str">
        <f aca="false">IF($A691="","",$K691-$L691)</f>
        <v/>
      </c>
    </row>
    <row r="692" customFormat="false" ht="15" hidden="false" customHeight="false" outlineLevel="0" collapsed="false">
      <c r="H692" s="8" t="str">
        <f aca="false">IF($A692="","",IFERROR(INDEX(Products!$B$2:$B$50,MATCH($E692,Products!$A$2:$A$50,0)),"Unmapped"))</f>
        <v/>
      </c>
      <c r="I692" s="41" t="str">
        <f aca="false">IF($A692="","",IFERROR(INDEX(Products!$C$2:$C$50,MATCH($E692,Products!$A$2:$A$50,0)),0))</f>
        <v/>
      </c>
      <c r="J692" s="41" t="str">
        <f aca="false">IF($A692="","",IFERROR(INDEX(Products!$D$2:$D$50,MATCH($E692,Products!$A$2:$A$50,0)),0))</f>
        <v/>
      </c>
      <c r="K692" s="41" t="str">
        <f aca="false">IF($A692="","",$F692*$I692*(1-$G692))</f>
        <v/>
      </c>
      <c r="L692" s="41" t="str">
        <f aca="false">IF($A692="","",$F692*$J692)</f>
        <v/>
      </c>
      <c r="M692" s="41" t="str">
        <f aca="false">IF($A692="","",$K692-$L692)</f>
        <v/>
      </c>
    </row>
    <row r="693" customFormat="false" ht="15" hidden="false" customHeight="false" outlineLevel="0" collapsed="false">
      <c r="H693" s="8" t="str">
        <f aca="false">IF($A693="","",IFERROR(INDEX(Products!$B$2:$B$50,MATCH($E693,Products!$A$2:$A$50,0)),"Unmapped"))</f>
        <v/>
      </c>
      <c r="I693" s="41" t="str">
        <f aca="false">IF($A693="","",IFERROR(INDEX(Products!$C$2:$C$50,MATCH($E693,Products!$A$2:$A$50,0)),0))</f>
        <v/>
      </c>
      <c r="J693" s="41" t="str">
        <f aca="false">IF($A693="","",IFERROR(INDEX(Products!$D$2:$D$50,MATCH($E693,Products!$A$2:$A$50,0)),0))</f>
        <v/>
      </c>
      <c r="K693" s="41" t="str">
        <f aca="false">IF($A693="","",$F693*$I693*(1-$G693))</f>
        <v/>
      </c>
      <c r="L693" s="41" t="str">
        <f aca="false">IF($A693="","",$F693*$J693)</f>
        <v/>
      </c>
      <c r="M693" s="41" t="str">
        <f aca="false">IF($A693="","",$K693-$L693)</f>
        <v/>
      </c>
    </row>
    <row r="694" customFormat="false" ht="15" hidden="false" customHeight="false" outlineLevel="0" collapsed="false">
      <c r="H694" s="8" t="str">
        <f aca="false">IF($A694="","",IFERROR(INDEX(Products!$B$2:$B$50,MATCH($E694,Products!$A$2:$A$50,0)),"Unmapped"))</f>
        <v/>
      </c>
      <c r="I694" s="41" t="str">
        <f aca="false">IF($A694="","",IFERROR(INDEX(Products!$C$2:$C$50,MATCH($E694,Products!$A$2:$A$50,0)),0))</f>
        <v/>
      </c>
      <c r="J694" s="41" t="str">
        <f aca="false">IF($A694="","",IFERROR(INDEX(Products!$D$2:$D$50,MATCH($E694,Products!$A$2:$A$50,0)),0))</f>
        <v/>
      </c>
      <c r="K694" s="41" t="str">
        <f aca="false">IF($A694="","",$F694*$I694*(1-$G694))</f>
        <v/>
      </c>
      <c r="L694" s="41" t="str">
        <f aca="false">IF($A694="","",$F694*$J694)</f>
        <v/>
      </c>
      <c r="M694" s="41" t="str">
        <f aca="false">IF($A694="","",$K694-$L694)</f>
        <v/>
      </c>
    </row>
    <row r="695" customFormat="false" ht="15" hidden="false" customHeight="false" outlineLevel="0" collapsed="false">
      <c r="H695" s="8" t="str">
        <f aca="false">IF($A695="","",IFERROR(INDEX(Products!$B$2:$B$50,MATCH($E695,Products!$A$2:$A$50,0)),"Unmapped"))</f>
        <v/>
      </c>
      <c r="I695" s="41" t="str">
        <f aca="false">IF($A695="","",IFERROR(INDEX(Products!$C$2:$C$50,MATCH($E695,Products!$A$2:$A$50,0)),0))</f>
        <v/>
      </c>
      <c r="J695" s="41" t="str">
        <f aca="false">IF($A695="","",IFERROR(INDEX(Products!$D$2:$D$50,MATCH($E695,Products!$A$2:$A$50,0)),0))</f>
        <v/>
      </c>
      <c r="K695" s="41" t="str">
        <f aca="false">IF($A695="","",$F695*$I695*(1-$G695))</f>
        <v/>
      </c>
      <c r="L695" s="41" t="str">
        <f aca="false">IF($A695="","",$F695*$J695)</f>
        <v/>
      </c>
      <c r="M695" s="41" t="str">
        <f aca="false">IF($A695="","",$K695-$L695)</f>
        <v/>
      </c>
    </row>
    <row r="696" customFormat="false" ht="15" hidden="false" customHeight="false" outlineLevel="0" collapsed="false">
      <c r="H696" s="8" t="str">
        <f aca="false">IF($A696="","",IFERROR(INDEX(Products!$B$2:$B$50,MATCH($E696,Products!$A$2:$A$50,0)),"Unmapped"))</f>
        <v/>
      </c>
      <c r="I696" s="41" t="str">
        <f aca="false">IF($A696="","",IFERROR(INDEX(Products!$C$2:$C$50,MATCH($E696,Products!$A$2:$A$50,0)),0))</f>
        <v/>
      </c>
      <c r="J696" s="41" t="str">
        <f aca="false">IF($A696="","",IFERROR(INDEX(Products!$D$2:$D$50,MATCH($E696,Products!$A$2:$A$50,0)),0))</f>
        <v/>
      </c>
      <c r="K696" s="41" t="str">
        <f aca="false">IF($A696="","",$F696*$I696*(1-$G696))</f>
        <v/>
      </c>
      <c r="L696" s="41" t="str">
        <f aca="false">IF($A696="","",$F696*$J696)</f>
        <v/>
      </c>
      <c r="M696" s="41" t="str">
        <f aca="false">IF($A696="","",$K696-$L696)</f>
        <v/>
      </c>
    </row>
    <row r="697" customFormat="false" ht="15" hidden="false" customHeight="false" outlineLevel="0" collapsed="false">
      <c r="H697" s="8" t="str">
        <f aca="false">IF($A697="","",IFERROR(INDEX(Products!$B$2:$B$50,MATCH($E697,Products!$A$2:$A$50,0)),"Unmapped"))</f>
        <v/>
      </c>
      <c r="I697" s="41" t="str">
        <f aca="false">IF($A697="","",IFERROR(INDEX(Products!$C$2:$C$50,MATCH($E697,Products!$A$2:$A$50,0)),0))</f>
        <v/>
      </c>
      <c r="J697" s="41" t="str">
        <f aca="false">IF($A697="","",IFERROR(INDEX(Products!$D$2:$D$50,MATCH($E697,Products!$A$2:$A$50,0)),0))</f>
        <v/>
      </c>
      <c r="K697" s="41" t="str">
        <f aca="false">IF($A697="","",$F697*$I697*(1-$G697))</f>
        <v/>
      </c>
      <c r="L697" s="41" t="str">
        <f aca="false">IF($A697="","",$F697*$J697)</f>
        <v/>
      </c>
      <c r="M697" s="41" t="str">
        <f aca="false">IF($A697="","",$K697-$L697)</f>
        <v/>
      </c>
    </row>
    <row r="698" customFormat="false" ht="15" hidden="false" customHeight="false" outlineLevel="0" collapsed="false">
      <c r="H698" s="8" t="str">
        <f aca="false">IF($A698="","",IFERROR(INDEX(Products!$B$2:$B$50,MATCH($E698,Products!$A$2:$A$50,0)),"Unmapped"))</f>
        <v/>
      </c>
      <c r="I698" s="41" t="str">
        <f aca="false">IF($A698="","",IFERROR(INDEX(Products!$C$2:$C$50,MATCH($E698,Products!$A$2:$A$50,0)),0))</f>
        <v/>
      </c>
      <c r="J698" s="41" t="str">
        <f aca="false">IF($A698="","",IFERROR(INDEX(Products!$D$2:$D$50,MATCH($E698,Products!$A$2:$A$50,0)),0))</f>
        <v/>
      </c>
      <c r="K698" s="41" t="str">
        <f aca="false">IF($A698="","",$F698*$I698*(1-$G698))</f>
        <v/>
      </c>
      <c r="L698" s="41" t="str">
        <f aca="false">IF($A698="","",$F698*$J698)</f>
        <v/>
      </c>
      <c r="M698" s="41" t="str">
        <f aca="false">IF($A698="","",$K698-$L698)</f>
        <v/>
      </c>
    </row>
    <row r="699" customFormat="false" ht="15" hidden="false" customHeight="false" outlineLevel="0" collapsed="false">
      <c r="H699" s="8" t="str">
        <f aca="false">IF($A699="","",IFERROR(INDEX(Products!$B$2:$B$50,MATCH($E699,Products!$A$2:$A$50,0)),"Unmapped"))</f>
        <v/>
      </c>
      <c r="I699" s="41" t="str">
        <f aca="false">IF($A699="","",IFERROR(INDEX(Products!$C$2:$C$50,MATCH($E699,Products!$A$2:$A$50,0)),0))</f>
        <v/>
      </c>
      <c r="J699" s="41" t="str">
        <f aca="false">IF($A699="","",IFERROR(INDEX(Products!$D$2:$D$50,MATCH($E699,Products!$A$2:$A$50,0)),0))</f>
        <v/>
      </c>
      <c r="K699" s="41" t="str">
        <f aca="false">IF($A699="","",$F699*$I699*(1-$G699))</f>
        <v/>
      </c>
      <c r="L699" s="41" t="str">
        <f aca="false">IF($A699="","",$F699*$J699)</f>
        <v/>
      </c>
      <c r="M699" s="41" t="str">
        <f aca="false">IF($A699="","",$K699-$L699)</f>
        <v/>
      </c>
    </row>
    <row r="700" customFormat="false" ht="15" hidden="false" customHeight="false" outlineLevel="0" collapsed="false">
      <c r="H700" s="8" t="str">
        <f aca="false">IF($A700="","",IFERROR(INDEX(Products!$B$2:$B$50,MATCH($E700,Products!$A$2:$A$50,0)),"Unmapped"))</f>
        <v/>
      </c>
      <c r="I700" s="41" t="str">
        <f aca="false">IF($A700="","",IFERROR(INDEX(Products!$C$2:$C$50,MATCH($E700,Products!$A$2:$A$50,0)),0))</f>
        <v/>
      </c>
      <c r="J700" s="41" t="str">
        <f aca="false">IF($A700="","",IFERROR(INDEX(Products!$D$2:$D$50,MATCH($E700,Products!$A$2:$A$50,0)),0))</f>
        <v/>
      </c>
      <c r="K700" s="41" t="str">
        <f aca="false">IF($A700="","",$F700*$I700*(1-$G700))</f>
        <v/>
      </c>
      <c r="L700" s="41" t="str">
        <f aca="false">IF($A700="","",$F700*$J700)</f>
        <v/>
      </c>
      <c r="M700" s="41" t="str">
        <f aca="false">IF($A700="","",$K700-$L700)</f>
        <v/>
      </c>
    </row>
    <row r="701" customFormat="false" ht="15" hidden="false" customHeight="false" outlineLevel="0" collapsed="false">
      <c r="H701" s="8" t="str">
        <f aca="false">IF($A701="","",IFERROR(INDEX(Products!$B$2:$B$50,MATCH($E701,Products!$A$2:$A$50,0)),"Unmapped"))</f>
        <v/>
      </c>
      <c r="I701" s="41" t="str">
        <f aca="false">IF($A701="","",IFERROR(INDEX(Products!$C$2:$C$50,MATCH($E701,Products!$A$2:$A$50,0)),0))</f>
        <v/>
      </c>
      <c r="J701" s="41" t="str">
        <f aca="false">IF($A701="","",IFERROR(INDEX(Products!$D$2:$D$50,MATCH($E701,Products!$A$2:$A$50,0)),0))</f>
        <v/>
      </c>
      <c r="K701" s="41" t="str">
        <f aca="false">IF($A701="","",$F701*$I701*(1-$G701))</f>
        <v/>
      </c>
      <c r="L701" s="41" t="str">
        <f aca="false">IF($A701="","",$F701*$J701)</f>
        <v/>
      </c>
      <c r="M701" s="41" t="str">
        <f aca="false">IF($A701="","",$K701-$L701)</f>
        <v/>
      </c>
    </row>
    <row r="702" customFormat="false" ht="15" hidden="false" customHeight="false" outlineLevel="0" collapsed="false">
      <c r="H702" s="8" t="str">
        <f aca="false">IF($A702="","",IFERROR(INDEX(Products!$B$2:$B$50,MATCH($E702,Products!$A$2:$A$50,0)),"Unmapped"))</f>
        <v/>
      </c>
      <c r="I702" s="41" t="str">
        <f aca="false">IF($A702="","",IFERROR(INDEX(Products!$C$2:$C$50,MATCH($E702,Products!$A$2:$A$50,0)),0))</f>
        <v/>
      </c>
      <c r="J702" s="41" t="str">
        <f aca="false">IF($A702="","",IFERROR(INDEX(Products!$D$2:$D$50,MATCH($E702,Products!$A$2:$A$50,0)),0))</f>
        <v/>
      </c>
      <c r="K702" s="41" t="str">
        <f aca="false">IF($A702="","",$F702*$I702*(1-$G702))</f>
        <v/>
      </c>
      <c r="L702" s="41" t="str">
        <f aca="false">IF($A702="","",$F702*$J702)</f>
        <v/>
      </c>
      <c r="M702" s="41" t="str">
        <f aca="false">IF($A702="","",$K702-$L702)</f>
        <v/>
      </c>
    </row>
    <row r="703" customFormat="false" ht="15" hidden="false" customHeight="false" outlineLevel="0" collapsed="false">
      <c r="H703" s="8" t="str">
        <f aca="false">IF($A703="","",IFERROR(INDEX(Products!$B$2:$B$50,MATCH($E703,Products!$A$2:$A$50,0)),"Unmapped"))</f>
        <v/>
      </c>
      <c r="I703" s="41" t="str">
        <f aca="false">IF($A703="","",IFERROR(INDEX(Products!$C$2:$C$50,MATCH($E703,Products!$A$2:$A$50,0)),0))</f>
        <v/>
      </c>
      <c r="J703" s="41" t="str">
        <f aca="false">IF($A703="","",IFERROR(INDEX(Products!$D$2:$D$50,MATCH($E703,Products!$A$2:$A$50,0)),0))</f>
        <v/>
      </c>
      <c r="K703" s="41" t="str">
        <f aca="false">IF($A703="","",$F703*$I703*(1-$G703))</f>
        <v/>
      </c>
      <c r="L703" s="41" t="str">
        <f aca="false">IF($A703="","",$F703*$J703)</f>
        <v/>
      </c>
      <c r="M703" s="41" t="str">
        <f aca="false">IF($A703="","",$K703-$L703)</f>
        <v/>
      </c>
    </row>
    <row r="704" customFormat="false" ht="15" hidden="false" customHeight="false" outlineLevel="0" collapsed="false">
      <c r="H704" s="8" t="str">
        <f aca="false">IF($A704="","",IFERROR(INDEX(Products!$B$2:$B$50,MATCH($E704,Products!$A$2:$A$50,0)),"Unmapped"))</f>
        <v/>
      </c>
      <c r="I704" s="41" t="str">
        <f aca="false">IF($A704="","",IFERROR(INDEX(Products!$C$2:$C$50,MATCH($E704,Products!$A$2:$A$50,0)),0))</f>
        <v/>
      </c>
      <c r="J704" s="41" t="str">
        <f aca="false">IF($A704="","",IFERROR(INDEX(Products!$D$2:$D$50,MATCH($E704,Products!$A$2:$A$50,0)),0))</f>
        <v/>
      </c>
      <c r="K704" s="41" t="str">
        <f aca="false">IF($A704="","",$F704*$I704*(1-$G704))</f>
        <v/>
      </c>
      <c r="L704" s="41" t="str">
        <f aca="false">IF($A704="","",$F704*$J704)</f>
        <v/>
      </c>
      <c r="M704" s="41" t="str">
        <f aca="false">IF($A704="","",$K704-$L704)</f>
        <v/>
      </c>
    </row>
    <row r="705" customFormat="false" ht="15" hidden="false" customHeight="false" outlineLevel="0" collapsed="false">
      <c r="H705" s="8" t="str">
        <f aca="false">IF($A705="","",IFERROR(INDEX(Products!$B$2:$B$50,MATCH($E705,Products!$A$2:$A$50,0)),"Unmapped"))</f>
        <v/>
      </c>
      <c r="I705" s="41" t="str">
        <f aca="false">IF($A705="","",IFERROR(INDEX(Products!$C$2:$C$50,MATCH($E705,Products!$A$2:$A$50,0)),0))</f>
        <v/>
      </c>
      <c r="J705" s="41" t="str">
        <f aca="false">IF($A705="","",IFERROR(INDEX(Products!$D$2:$D$50,MATCH($E705,Products!$A$2:$A$50,0)),0))</f>
        <v/>
      </c>
      <c r="K705" s="41" t="str">
        <f aca="false">IF($A705="","",$F705*$I705*(1-$G705))</f>
        <v/>
      </c>
      <c r="L705" s="41" t="str">
        <f aca="false">IF($A705="","",$F705*$J705)</f>
        <v/>
      </c>
      <c r="M705" s="41" t="str">
        <f aca="false">IF($A705="","",$K705-$L705)</f>
        <v/>
      </c>
    </row>
    <row r="706" customFormat="false" ht="15" hidden="false" customHeight="false" outlineLevel="0" collapsed="false">
      <c r="H706" s="8" t="str">
        <f aca="false">IF($A706="","",IFERROR(INDEX(Products!$B$2:$B$50,MATCH($E706,Products!$A$2:$A$50,0)),"Unmapped"))</f>
        <v/>
      </c>
      <c r="I706" s="41" t="str">
        <f aca="false">IF($A706="","",IFERROR(INDEX(Products!$C$2:$C$50,MATCH($E706,Products!$A$2:$A$50,0)),0))</f>
        <v/>
      </c>
      <c r="J706" s="41" t="str">
        <f aca="false">IF($A706="","",IFERROR(INDEX(Products!$D$2:$D$50,MATCH($E706,Products!$A$2:$A$50,0)),0))</f>
        <v/>
      </c>
      <c r="K706" s="41" t="str">
        <f aca="false">IF($A706="","",$F706*$I706*(1-$G706))</f>
        <v/>
      </c>
      <c r="L706" s="41" t="str">
        <f aca="false">IF($A706="","",$F706*$J706)</f>
        <v/>
      </c>
      <c r="M706" s="41" t="str">
        <f aca="false">IF($A706="","",$K706-$L706)</f>
        <v/>
      </c>
    </row>
    <row r="707" customFormat="false" ht="15" hidden="false" customHeight="false" outlineLevel="0" collapsed="false">
      <c r="H707" s="8" t="str">
        <f aca="false">IF($A707="","",IFERROR(INDEX(Products!$B$2:$B$50,MATCH($E707,Products!$A$2:$A$50,0)),"Unmapped"))</f>
        <v/>
      </c>
      <c r="I707" s="41" t="str">
        <f aca="false">IF($A707="","",IFERROR(INDEX(Products!$C$2:$C$50,MATCH($E707,Products!$A$2:$A$50,0)),0))</f>
        <v/>
      </c>
      <c r="J707" s="41" t="str">
        <f aca="false">IF($A707="","",IFERROR(INDEX(Products!$D$2:$D$50,MATCH($E707,Products!$A$2:$A$50,0)),0))</f>
        <v/>
      </c>
      <c r="K707" s="41" t="str">
        <f aca="false">IF($A707="","",$F707*$I707*(1-$G707))</f>
        <v/>
      </c>
      <c r="L707" s="41" t="str">
        <f aca="false">IF($A707="","",$F707*$J707)</f>
        <v/>
      </c>
      <c r="M707" s="41" t="str">
        <f aca="false">IF($A707="","",$K707-$L707)</f>
        <v/>
      </c>
    </row>
    <row r="708" customFormat="false" ht="15" hidden="false" customHeight="false" outlineLevel="0" collapsed="false">
      <c r="H708" s="8" t="str">
        <f aca="false">IF($A708="","",IFERROR(INDEX(Products!$B$2:$B$50,MATCH($E708,Products!$A$2:$A$50,0)),"Unmapped"))</f>
        <v/>
      </c>
      <c r="I708" s="41" t="str">
        <f aca="false">IF($A708="","",IFERROR(INDEX(Products!$C$2:$C$50,MATCH($E708,Products!$A$2:$A$50,0)),0))</f>
        <v/>
      </c>
      <c r="J708" s="41" t="str">
        <f aca="false">IF($A708="","",IFERROR(INDEX(Products!$D$2:$D$50,MATCH($E708,Products!$A$2:$A$50,0)),0))</f>
        <v/>
      </c>
      <c r="K708" s="41" t="str">
        <f aca="false">IF($A708="","",$F708*$I708*(1-$G708))</f>
        <v/>
      </c>
      <c r="L708" s="41" t="str">
        <f aca="false">IF($A708="","",$F708*$J708)</f>
        <v/>
      </c>
      <c r="M708" s="41" t="str">
        <f aca="false">IF($A708="","",$K708-$L708)</f>
        <v/>
      </c>
    </row>
    <row r="709" customFormat="false" ht="15" hidden="false" customHeight="false" outlineLevel="0" collapsed="false">
      <c r="H709" s="8" t="str">
        <f aca="false">IF($A709="","",IFERROR(INDEX(Products!$B$2:$B$50,MATCH($E709,Products!$A$2:$A$50,0)),"Unmapped"))</f>
        <v/>
      </c>
      <c r="I709" s="41" t="str">
        <f aca="false">IF($A709="","",IFERROR(INDEX(Products!$C$2:$C$50,MATCH($E709,Products!$A$2:$A$50,0)),0))</f>
        <v/>
      </c>
      <c r="J709" s="41" t="str">
        <f aca="false">IF($A709="","",IFERROR(INDEX(Products!$D$2:$D$50,MATCH($E709,Products!$A$2:$A$50,0)),0))</f>
        <v/>
      </c>
      <c r="K709" s="41" t="str">
        <f aca="false">IF($A709="","",$F709*$I709*(1-$G709))</f>
        <v/>
      </c>
      <c r="L709" s="41" t="str">
        <f aca="false">IF($A709="","",$F709*$J709)</f>
        <v/>
      </c>
      <c r="M709" s="41" t="str">
        <f aca="false">IF($A709="","",$K709-$L709)</f>
        <v/>
      </c>
    </row>
    <row r="710" customFormat="false" ht="15" hidden="false" customHeight="false" outlineLevel="0" collapsed="false">
      <c r="H710" s="8" t="str">
        <f aca="false">IF($A710="","",IFERROR(INDEX(Products!$B$2:$B$50,MATCH($E710,Products!$A$2:$A$50,0)),"Unmapped"))</f>
        <v/>
      </c>
      <c r="I710" s="41" t="str">
        <f aca="false">IF($A710="","",IFERROR(INDEX(Products!$C$2:$C$50,MATCH($E710,Products!$A$2:$A$50,0)),0))</f>
        <v/>
      </c>
      <c r="J710" s="41" t="str">
        <f aca="false">IF($A710="","",IFERROR(INDEX(Products!$D$2:$D$50,MATCH($E710,Products!$A$2:$A$50,0)),0))</f>
        <v/>
      </c>
      <c r="K710" s="41" t="str">
        <f aca="false">IF($A710="","",$F710*$I710*(1-$G710))</f>
        <v/>
      </c>
      <c r="L710" s="41" t="str">
        <f aca="false">IF($A710="","",$F710*$J710)</f>
        <v/>
      </c>
      <c r="M710" s="41" t="str">
        <f aca="false">IF($A710="","",$K710-$L710)</f>
        <v/>
      </c>
    </row>
    <row r="711" customFormat="false" ht="15" hidden="false" customHeight="false" outlineLevel="0" collapsed="false">
      <c r="H711" s="8" t="str">
        <f aca="false">IF($A711="","",IFERROR(INDEX(Products!$B$2:$B$50,MATCH($E711,Products!$A$2:$A$50,0)),"Unmapped"))</f>
        <v/>
      </c>
      <c r="I711" s="41" t="str">
        <f aca="false">IF($A711="","",IFERROR(INDEX(Products!$C$2:$C$50,MATCH($E711,Products!$A$2:$A$50,0)),0))</f>
        <v/>
      </c>
      <c r="J711" s="41" t="str">
        <f aca="false">IF($A711="","",IFERROR(INDEX(Products!$D$2:$D$50,MATCH($E711,Products!$A$2:$A$50,0)),0))</f>
        <v/>
      </c>
      <c r="K711" s="41" t="str">
        <f aca="false">IF($A711="","",$F711*$I711*(1-$G711))</f>
        <v/>
      </c>
      <c r="L711" s="41" t="str">
        <f aca="false">IF($A711="","",$F711*$J711)</f>
        <v/>
      </c>
      <c r="M711" s="41" t="str">
        <f aca="false">IF($A711="","",$K711-$L711)</f>
        <v/>
      </c>
    </row>
    <row r="712" customFormat="false" ht="15" hidden="false" customHeight="false" outlineLevel="0" collapsed="false">
      <c r="H712" s="8" t="str">
        <f aca="false">IF($A712="","",IFERROR(INDEX(Products!$B$2:$B$50,MATCH($E712,Products!$A$2:$A$50,0)),"Unmapped"))</f>
        <v/>
      </c>
      <c r="I712" s="41" t="str">
        <f aca="false">IF($A712="","",IFERROR(INDEX(Products!$C$2:$C$50,MATCH($E712,Products!$A$2:$A$50,0)),0))</f>
        <v/>
      </c>
      <c r="J712" s="41" t="str">
        <f aca="false">IF($A712="","",IFERROR(INDEX(Products!$D$2:$D$50,MATCH($E712,Products!$A$2:$A$50,0)),0))</f>
        <v/>
      </c>
      <c r="K712" s="41" t="str">
        <f aca="false">IF($A712="","",$F712*$I712*(1-$G712))</f>
        <v/>
      </c>
      <c r="L712" s="41" t="str">
        <f aca="false">IF($A712="","",$F712*$J712)</f>
        <v/>
      </c>
      <c r="M712" s="41" t="str">
        <f aca="false">IF($A712="","",$K712-$L712)</f>
        <v/>
      </c>
    </row>
    <row r="713" customFormat="false" ht="15" hidden="false" customHeight="false" outlineLevel="0" collapsed="false">
      <c r="H713" s="8" t="str">
        <f aca="false">IF($A713="","",IFERROR(INDEX(Products!$B$2:$B$50,MATCH($E713,Products!$A$2:$A$50,0)),"Unmapped"))</f>
        <v/>
      </c>
      <c r="I713" s="41" t="str">
        <f aca="false">IF($A713="","",IFERROR(INDEX(Products!$C$2:$C$50,MATCH($E713,Products!$A$2:$A$50,0)),0))</f>
        <v/>
      </c>
      <c r="J713" s="41" t="str">
        <f aca="false">IF($A713="","",IFERROR(INDEX(Products!$D$2:$D$50,MATCH($E713,Products!$A$2:$A$50,0)),0))</f>
        <v/>
      </c>
      <c r="K713" s="41" t="str">
        <f aca="false">IF($A713="","",$F713*$I713*(1-$G713))</f>
        <v/>
      </c>
      <c r="L713" s="41" t="str">
        <f aca="false">IF($A713="","",$F713*$J713)</f>
        <v/>
      </c>
      <c r="M713" s="41" t="str">
        <f aca="false">IF($A713="","",$K713-$L713)</f>
        <v/>
      </c>
    </row>
    <row r="714" customFormat="false" ht="15" hidden="false" customHeight="false" outlineLevel="0" collapsed="false">
      <c r="H714" s="8" t="str">
        <f aca="false">IF($A714="","",IFERROR(INDEX(Products!$B$2:$B$50,MATCH($E714,Products!$A$2:$A$50,0)),"Unmapped"))</f>
        <v/>
      </c>
      <c r="I714" s="41" t="str">
        <f aca="false">IF($A714="","",IFERROR(INDEX(Products!$C$2:$C$50,MATCH($E714,Products!$A$2:$A$50,0)),0))</f>
        <v/>
      </c>
      <c r="J714" s="41" t="str">
        <f aca="false">IF($A714="","",IFERROR(INDEX(Products!$D$2:$D$50,MATCH($E714,Products!$A$2:$A$50,0)),0))</f>
        <v/>
      </c>
      <c r="K714" s="41" t="str">
        <f aca="false">IF($A714="","",$F714*$I714*(1-$G714))</f>
        <v/>
      </c>
      <c r="L714" s="41" t="str">
        <f aca="false">IF($A714="","",$F714*$J714)</f>
        <v/>
      </c>
      <c r="M714" s="41" t="str">
        <f aca="false">IF($A714="","",$K714-$L714)</f>
        <v/>
      </c>
    </row>
    <row r="715" customFormat="false" ht="15" hidden="false" customHeight="false" outlineLevel="0" collapsed="false">
      <c r="H715" s="8" t="str">
        <f aca="false">IF($A715="","",IFERROR(INDEX(Products!$B$2:$B$50,MATCH($E715,Products!$A$2:$A$50,0)),"Unmapped"))</f>
        <v/>
      </c>
      <c r="I715" s="41" t="str">
        <f aca="false">IF($A715="","",IFERROR(INDEX(Products!$C$2:$C$50,MATCH($E715,Products!$A$2:$A$50,0)),0))</f>
        <v/>
      </c>
      <c r="J715" s="41" t="str">
        <f aca="false">IF($A715="","",IFERROR(INDEX(Products!$D$2:$D$50,MATCH($E715,Products!$A$2:$A$50,0)),0))</f>
        <v/>
      </c>
      <c r="K715" s="41" t="str">
        <f aca="false">IF($A715="","",$F715*$I715*(1-$G715))</f>
        <v/>
      </c>
      <c r="L715" s="41" t="str">
        <f aca="false">IF($A715="","",$F715*$J715)</f>
        <v/>
      </c>
      <c r="M715" s="41" t="str">
        <f aca="false">IF($A715="","",$K715-$L715)</f>
        <v/>
      </c>
    </row>
    <row r="716" customFormat="false" ht="15" hidden="false" customHeight="false" outlineLevel="0" collapsed="false">
      <c r="H716" s="8" t="str">
        <f aca="false">IF($A716="","",IFERROR(INDEX(Products!$B$2:$B$50,MATCH($E716,Products!$A$2:$A$50,0)),"Unmapped"))</f>
        <v/>
      </c>
      <c r="I716" s="41" t="str">
        <f aca="false">IF($A716="","",IFERROR(INDEX(Products!$C$2:$C$50,MATCH($E716,Products!$A$2:$A$50,0)),0))</f>
        <v/>
      </c>
      <c r="J716" s="41" t="str">
        <f aca="false">IF($A716="","",IFERROR(INDEX(Products!$D$2:$D$50,MATCH($E716,Products!$A$2:$A$50,0)),0))</f>
        <v/>
      </c>
      <c r="K716" s="41" t="str">
        <f aca="false">IF($A716="","",$F716*$I716*(1-$G716))</f>
        <v/>
      </c>
      <c r="L716" s="41" t="str">
        <f aca="false">IF($A716="","",$F716*$J716)</f>
        <v/>
      </c>
      <c r="M716" s="41" t="str">
        <f aca="false">IF($A716="","",$K716-$L716)</f>
        <v/>
      </c>
    </row>
    <row r="717" customFormat="false" ht="15" hidden="false" customHeight="false" outlineLevel="0" collapsed="false">
      <c r="H717" s="8" t="str">
        <f aca="false">IF($A717="","",IFERROR(INDEX(Products!$B$2:$B$50,MATCH($E717,Products!$A$2:$A$50,0)),"Unmapped"))</f>
        <v/>
      </c>
      <c r="I717" s="41" t="str">
        <f aca="false">IF($A717="","",IFERROR(INDEX(Products!$C$2:$C$50,MATCH($E717,Products!$A$2:$A$50,0)),0))</f>
        <v/>
      </c>
      <c r="J717" s="41" t="str">
        <f aca="false">IF($A717="","",IFERROR(INDEX(Products!$D$2:$D$50,MATCH($E717,Products!$A$2:$A$50,0)),0))</f>
        <v/>
      </c>
      <c r="K717" s="41" t="str">
        <f aca="false">IF($A717="","",$F717*$I717*(1-$G717))</f>
        <v/>
      </c>
      <c r="L717" s="41" t="str">
        <f aca="false">IF($A717="","",$F717*$J717)</f>
        <v/>
      </c>
      <c r="M717" s="41" t="str">
        <f aca="false">IF($A717="","",$K717-$L717)</f>
        <v/>
      </c>
    </row>
    <row r="718" customFormat="false" ht="15" hidden="false" customHeight="false" outlineLevel="0" collapsed="false">
      <c r="H718" s="8" t="str">
        <f aca="false">IF($A718="","",IFERROR(INDEX(Products!$B$2:$B$50,MATCH($E718,Products!$A$2:$A$50,0)),"Unmapped"))</f>
        <v/>
      </c>
      <c r="I718" s="41" t="str">
        <f aca="false">IF($A718="","",IFERROR(INDEX(Products!$C$2:$C$50,MATCH($E718,Products!$A$2:$A$50,0)),0))</f>
        <v/>
      </c>
      <c r="J718" s="41" t="str">
        <f aca="false">IF($A718="","",IFERROR(INDEX(Products!$D$2:$D$50,MATCH($E718,Products!$A$2:$A$50,0)),0))</f>
        <v/>
      </c>
      <c r="K718" s="41" t="str">
        <f aca="false">IF($A718="","",$F718*$I718*(1-$G718))</f>
        <v/>
      </c>
      <c r="L718" s="41" t="str">
        <f aca="false">IF($A718="","",$F718*$J718)</f>
        <v/>
      </c>
      <c r="M718" s="41" t="str">
        <f aca="false">IF($A718="","",$K718-$L718)</f>
        <v/>
      </c>
    </row>
    <row r="719" customFormat="false" ht="15" hidden="false" customHeight="false" outlineLevel="0" collapsed="false">
      <c r="H719" s="8" t="str">
        <f aca="false">IF($A719="","",IFERROR(INDEX(Products!$B$2:$B$50,MATCH($E719,Products!$A$2:$A$50,0)),"Unmapped"))</f>
        <v/>
      </c>
      <c r="I719" s="41" t="str">
        <f aca="false">IF($A719="","",IFERROR(INDEX(Products!$C$2:$C$50,MATCH($E719,Products!$A$2:$A$50,0)),0))</f>
        <v/>
      </c>
      <c r="J719" s="41" t="str">
        <f aca="false">IF($A719="","",IFERROR(INDEX(Products!$D$2:$D$50,MATCH($E719,Products!$A$2:$A$50,0)),0))</f>
        <v/>
      </c>
      <c r="K719" s="41" t="str">
        <f aca="false">IF($A719="","",$F719*$I719*(1-$G719))</f>
        <v/>
      </c>
      <c r="L719" s="41" t="str">
        <f aca="false">IF($A719="","",$F719*$J719)</f>
        <v/>
      </c>
      <c r="M719" s="41" t="str">
        <f aca="false">IF($A719="","",$K719-$L719)</f>
        <v/>
      </c>
    </row>
    <row r="720" customFormat="false" ht="15" hidden="false" customHeight="false" outlineLevel="0" collapsed="false">
      <c r="H720" s="8" t="str">
        <f aca="false">IF($A720="","",IFERROR(INDEX(Products!$B$2:$B$50,MATCH($E720,Products!$A$2:$A$50,0)),"Unmapped"))</f>
        <v/>
      </c>
      <c r="I720" s="41" t="str">
        <f aca="false">IF($A720="","",IFERROR(INDEX(Products!$C$2:$C$50,MATCH($E720,Products!$A$2:$A$50,0)),0))</f>
        <v/>
      </c>
      <c r="J720" s="41" t="str">
        <f aca="false">IF($A720="","",IFERROR(INDEX(Products!$D$2:$D$50,MATCH($E720,Products!$A$2:$A$50,0)),0))</f>
        <v/>
      </c>
      <c r="K720" s="41" t="str">
        <f aca="false">IF($A720="","",$F720*$I720*(1-$G720))</f>
        <v/>
      </c>
      <c r="L720" s="41" t="str">
        <f aca="false">IF($A720="","",$F720*$J720)</f>
        <v/>
      </c>
      <c r="M720" s="41" t="str">
        <f aca="false">IF($A720="","",$K720-$L720)</f>
        <v/>
      </c>
    </row>
    <row r="721" customFormat="false" ht="15" hidden="false" customHeight="false" outlineLevel="0" collapsed="false">
      <c r="H721" s="8" t="str">
        <f aca="false">IF($A721="","",IFERROR(INDEX(Products!$B$2:$B$50,MATCH($E721,Products!$A$2:$A$50,0)),"Unmapped"))</f>
        <v/>
      </c>
      <c r="I721" s="41" t="str">
        <f aca="false">IF($A721="","",IFERROR(INDEX(Products!$C$2:$C$50,MATCH($E721,Products!$A$2:$A$50,0)),0))</f>
        <v/>
      </c>
      <c r="J721" s="41" t="str">
        <f aca="false">IF($A721="","",IFERROR(INDEX(Products!$D$2:$D$50,MATCH($E721,Products!$A$2:$A$50,0)),0))</f>
        <v/>
      </c>
      <c r="K721" s="41" t="str">
        <f aca="false">IF($A721="","",$F721*$I721*(1-$G721))</f>
        <v/>
      </c>
      <c r="L721" s="41" t="str">
        <f aca="false">IF($A721="","",$F721*$J721)</f>
        <v/>
      </c>
      <c r="M721" s="41" t="str">
        <f aca="false">IF($A721="","",$K721-$L721)</f>
        <v/>
      </c>
    </row>
    <row r="722" customFormat="false" ht="15" hidden="false" customHeight="false" outlineLevel="0" collapsed="false">
      <c r="H722" s="8" t="str">
        <f aca="false">IF($A722="","",IFERROR(INDEX(Products!$B$2:$B$50,MATCH($E722,Products!$A$2:$A$50,0)),"Unmapped"))</f>
        <v/>
      </c>
      <c r="I722" s="41" t="str">
        <f aca="false">IF($A722="","",IFERROR(INDEX(Products!$C$2:$C$50,MATCH($E722,Products!$A$2:$A$50,0)),0))</f>
        <v/>
      </c>
      <c r="J722" s="41" t="str">
        <f aca="false">IF($A722="","",IFERROR(INDEX(Products!$D$2:$D$50,MATCH($E722,Products!$A$2:$A$50,0)),0))</f>
        <v/>
      </c>
      <c r="K722" s="41" t="str">
        <f aca="false">IF($A722="","",$F722*$I722*(1-$G722))</f>
        <v/>
      </c>
      <c r="L722" s="41" t="str">
        <f aca="false">IF($A722="","",$F722*$J722)</f>
        <v/>
      </c>
      <c r="M722" s="41" t="str">
        <f aca="false">IF($A722="","",$K722-$L722)</f>
        <v/>
      </c>
    </row>
    <row r="723" customFormat="false" ht="15" hidden="false" customHeight="false" outlineLevel="0" collapsed="false">
      <c r="H723" s="8" t="str">
        <f aca="false">IF($A723="","",IFERROR(INDEX(Products!$B$2:$B$50,MATCH($E723,Products!$A$2:$A$50,0)),"Unmapped"))</f>
        <v/>
      </c>
      <c r="I723" s="41" t="str">
        <f aca="false">IF($A723="","",IFERROR(INDEX(Products!$C$2:$C$50,MATCH($E723,Products!$A$2:$A$50,0)),0))</f>
        <v/>
      </c>
      <c r="J723" s="41" t="str">
        <f aca="false">IF($A723="","",IFERROR(INDEX(Products!$D$2:$D$50,MATCH($E723,Products!$A$2:$A$50,0)),0))</f>
        <v/>
      </c>
      <c r="K723" s="41" t="str">
        <f aca="false">IF($A723="","",$F723*$I723*(1-$G723))</f>
        <v/>
      </c>
      <c r="L723" s="41" t="str">
        <f aca="false">IF($A723="","",$F723*$J723)</f>
        <v/>
      </c>
      <c r="M723" s="41" t="str">
        <f aca="false">IF($A723="","",$K723-$L723)</f>
        <v/>
      </c>
    </row>
    <row r="724" customFormat="false" ht="15" hidden="false" customHeight="false" outlineLevel="0" collapsed="false">
      <c r="H724" s="8" t="str">
        <f aca="false">IF($A724="","",IFERROR(INDEX(Products!$B$2:$B$50,MATCH($E724,Products!$A$2:$A$50,0)),"Unmapped"))</f>
        <v/>
      </c>
      <c r="I724" s="41" t="str">
        <f aca="false">IF($A724="","",IFERROR(INDEX(Products!$C$2:$C$50,MATCH($E724,Products!$A$2:$A$50,0)),0))</f>
        <v/>
      </c>
      <c r="J724" s="41" t="str">
        <f aca="false">IF($A724="","",IFERROR(INDEX(Products!$D$2:$D$50,MATCH($E724,Products!$A$2:$A$50,0)),0))</f>
        <v/>
      </c>
      <c r="K724" s="41" t="str">
        <f aca="false">IF($A724="","",$F724*$I724*(1-$G724))</f>
        <v/>
      </c>
      <c r="L724" s="41" t="str">
        <f aca="false">IF($A724="","",$F724*$J724)</f>
        <v/>
      </c>
      <c r="M724" s="41" t="str">
        <f aca="false">IF($A724="","",$K724-$L724)</f>
        <v/>
      </c>
    </row>
    <row r="725" customFormat="false" ht="15" hidden="false" customHeight="false" outlineLevel="0" collapsed="false">
      <c r="H725" s="8" t="str">
        <f aca="false">IF($A725="","",IFERROR(INDEX(Products!$B$2:$B$50,MATCH($E725,Products!$A$2:$A$50,0)),"Unmapped"))</f>
        <v/>
      </c>
      <c r="I725" s="41" t="str">
        <f aca="false">IF($A725="","",IFERROR(INDEX(Products!$C$2:$C$50,MATCH($E725,Products!$A$2:$A$50,0)),0))</f>
        <v/>
      </c>
      <c r="J725" s="41" t="str">
        <f aca="false">IF($A725="","",IFERROR(INDEX(Products!$D$2:$D$50,MATCH($E725,Products!$A$2:$A$50,0)),0))</f>
        <v/>
      </c>
      <c r="K725" s="41" t="str">
        <f aca="false">IF($A725="","",$F725*$I725*(1-$G725))</f>
        <v/>
      </c>
      <c r="L725" s="41" t="str">
        <f aca="false">IF($A725="","",$F725*$J725)</f>
        <v/>
      </c>
      <c r="M725" s="41" t="str">
        <f aca="false">IF($A725="","",$K725-$L725)</f>
        <v/>
      </c>
    </row>
    <row r="726" customFormat="false" ht="15" hidden="false" customHeight="false" outlineLevel="0" collapsed="false">
      <c r="H726" s="8" t="str">
        <f aca="false">IF($A726="","",IFERROR(INDEX(Products!$B$2:$B$50,MATCH($E726,Products!$A$2:$A$50,0)),"Unmapped"))</f>
        <v/>
      </c>
      <c r="I726" s="41" t="str">
        <f aca="false">IF($A726="","",IFERROR(INDEX(Products!$C$2:$C$50,MATCH($E726,Products!$A$2:$A$50,0)),0))</f>
        <v/>
      </c>
      <c r="J726" s="41" t="str">
        <f aca="false">IF($A726="","",IFERROR(INDEX(Products!$D$2:$D$50,MATCH($E726,Products!$A$2:$A$50,0)),0))</f>
        <v/>
      </c>
      <c r="K726" s="41" t="str">
        <f aca="false">IF($A726="","",$F726*$I726*(1-$G726))</f>
        <v/>
      </c>
      <c r="L726" s="41" t="str">
        <f aca="false">IF($A726="","",$F726*$J726)</f>
        <v/>
      </c>
      <c r="M726" s="41" t="str">
        <f aca="false">IF($A726="","",$K726-$L726)</f>
        <v/>
      </c>
    </row>
    <row r="727" customFormat="false" ht="15" hidden="false" customHeight="false" outlineLevel="0" collapsed="false">
      <c r="H727" s="8" t="str">
        <f aca="false">IF($A727="","",IFERROR(INDEX(Products!$B$2:$B$50,MATCH($E727,Products!$A$2:$A$50,0)),"Unmapped"))</f>
        <v/>
      </c>
      <c r="I727" s="41" t="str">
        <f aca="false">IF($A727="","",IFERROR(INDEX(Products!$C$2:$C$50,MATCH($E727,Products!$A$2:$A$50,0)),0))</f>
        <v/>
      </c>
      <c r="J727" s="41" t="str">
        <f aca="false">IF($A727="","",IFERROR(INDEX(Products!$D$2:$D$50,MATCH($E727,Products!$A$2:$A$50,0)),0))</f>
        <v/>
      </c>
      <c r="K727" s="41" t="str">
        <f aca="false">IF($A727="","",$F727*$I727*(1-$G727))</f>
        <v/>
      </c>
      <c r="L727" s="41" t="str">
        <f aca="false">IF($A727="","",$F727*$J727)</f>
        <v/>
      </c>
      <c r="M727" s="41" t="str">
        <f aca="false">IF($A727="","",$K727-$L727)</f>
        <v/>
      </c>
    </row>
    <row r="728" customFormat="false" ht="15" hidden="false" customHeight="false" outlineLevel="0" collapsed="false">
      <c r="H728" s="8" t="str">
        <f aca="false">IF($A728="","",IFERROR(INDEX(Products!$B$2:$B$50,MATCH($E728,Products!$A$2:$A$50,0)),"Unmapped"))</f>
        <v/>
      </c>
      <c r="I728" s="41" t="str">
        <f aca="false">IF($A728="","",IFERROR(INDEX(Products!$C$2:$C$50,MATCH($E728,Products!$A$2:$A$50,0)),0))</f>
        <v/>
      </c>
      <c r="J728" s="41" t="str">
        <f aca="false">IF($A728="","",IFERROR(INDEX(Products!$D$2:$D$50,MATCH($E728,Products!$A$2:$A$50,0)),0))</f>
        <v/>
      </c>
      <c r="K728" s="41" t="str">
        <f aca="false">IF($A728="","",$F728*$I728*(1-$G728))</f>
        <v/>
      </c>
      <c r="L728" s="41" t="str">
        <f aca="false">IF($A728="","",$F728*$J728)</f>
        <v/>
      </c>
      <c r="M728" s="41" t="str">
        <f aca="false">IF($A728="","",$K728-$L728)</f>
        <v/>
      </c>
    </row>
    <row r="729" customFormat="false" ht="15" hidden="false" customHeight="false" outlineLevel="0" collapsed="false">
      <c r="H729" s="8" t="str">
        <f aca="false">IF($A729="","",IFERROR(INDEX(Products!$B$2:$B$50,MATCH($E729,Products!$A$2:$A$50,0)),"Unmapped"))</f>
        <v/>
      </c>
      <c r="I729" s="41" t="str">
        <f aca="false">IF($A729="","",IFERROR(INDEX(Products!$C$2:$C$50,MATCH($E729,Products!$A$2:$A$50,0)),0))</f>
        <v/>
      </c>
      <c r="J729" s="41" t="str">
        <f aca="false">IF($A729="","",IFERROR(INDEX(Products!$D$2:$D$50,MATCH($E729,Products!$A$2:$A$50,0)),0))</f>
        <v/>
      </c>
      <c r="K729" s="41" t="str">
        <f aca="false">IF($A729="","",$F729*$I729*(1-$G729))</f>
        <v/>
      </c>
      <c r="L729" s="41" t="str">
        <f aca="false">IF($A729="","",$F729*$J729)</f>
        <v/>
      </c>
      <c r="M729" s="41" t="str">
        <f aca="false">IF($A729="","",$K729-$L729)</f>
        <v/>
      </c>
    </row>
    <row r="730" customFormat="false" ht="15" hidden="false" customHeight="false" outlineLevel="0" collapsed="false">
      <c r="H730" s="8" t="str">
        <f aca="false">IF($A730="","",IFERROR(INDEX(Products!$B$2:$B$50,MATCH($E730,Products!$A$2:$A$50,0)),"Unmapped"))</f>
        <v/>
      </c>
      <c r="I730" s="41" t="str">
        <f aca="false">IF($A730="","",IFERROR(INDEX(Products!$C$2:$C$50,MATCH($E730,Products!$A$2:$A$50,0)),0))</f>
        <v/>
      </c>
      <c r="J730" s="41" t="str">
        <f aca="false">IF($A730="","",IFERROR(INDEX(Products!$D$2:$D$50,MATCH($E730,Products!$A$2:$A$50,0)),0))</f>
        <v/>
      </c>
      <c r="K730" s="41" t="str">
        <f aca="false">IF($A730="","",$F730*$I730*(1-$G730))</f>
        <v/>
      </c>
      <c r="L730" s="41" t="str">
        <f aca="false">IF($A730="","",$F730*$J730)</f>
        <v/>
      </c>
      <c r="M730" s="41" t="str">
        <f aca="false">IF($A730="","",$K730-$L730)</f>
        <v/>
      </c>
    </row>
    <row r="731" customFormat="false" ht="15" hidden="false" customHeight="false" outlineLevel="0" collapsed="false">
      <c r="H731" s="8" t="str">
        <f aca="false">IF($A731="","",IFERROR(INDEX(Products!$B$2:$B$50,MATCH($E731,Products!$A$2:$A$50,0)),"Unmapped"))</f>
        <v/>
      </c>
      <c r="I731" s="41" t="str">
        <f aca="false">IF($A731="","",IFERROR(INDEX(Products!$C$2:$C$50,MATCH($E731,Products!$A$2:$A$50,0)),0))</f>
        <v/>
      </c>
      <c r="J731" s="41" t="str">
        <f aca="false">IF($A731="","",IFERROR(INDEX(Products!$D$2:$D$50,MATCH($E731,Products!$A$2:$A$50,0)),0))</f>
        <v/>
      </c>
      <c r="K731" s="41" t="str">
        <f aca="false">IF($A731="","",$F731*$I731*(1-$G731))</f>
        <v/>
      </c>
      <c r="L731" s="41" t="str">
        <f aca="false">IF($A731="","",$F731*$J731)</f>
        <v/>
      </c>
      <c r="M731" s="41" t="str">
        <f aca="false">IF($A731="","",$K731-$L731)</f>
        <v/>
      </c>
    </row>
    <row r="732" customFormat="false" ht="15" hidden="false" customHeight="false" outlineLevel="0" collapsed="false">
      <c r="H732" s="8" t="str">
        <f aca="false">IF($A732="","",IFERROR(INDEX(Products!$B$2:$B$50,MATCH($E732,Products!$A$2:$A$50,0)),"Unmapped"))</f>
        <v/>
      </c>
      <c r="I732" s="41" t="str">
        <f aca="false">IF($A732="","",IFERROR(INDEX(Products!$C$2:$C$50,MATCH($E732,Products!$A$2:$A$50,0)),0))</f>
        <v/>
      </c>
      <c r="J732" s="41" t="str">
        <f aca="false">IF($A732="","",IFERROR(INDEX(Products!$D$2:$D$50,MATCH($E732,Products!$A$2:$A$50,0)),0))</f>
        <v/>
      </c>
      <c r="K732" s="41" t="str">
        <f aca="false">IF($A732="","",$F732*$I732*(1-$G732))</f>
        <v/>
      </c>
      <c r="L732" s="41" t="str">
        <f aca="false">IF($A732="","",$F732*$J732)</f>
        <v/>
      </c>
      <c r="M732" s="41" t="str">
        <f aca="false">IF($A732="","",$K732-$L732)</f>
        <v/>
      </c>
    </row>
    <row r="733" customFormat="false" ht="15" hidden="false" customHeight="false" outlineLevel="0" collapsed="false">
      <c r="H733" s="8" t="str">
        <f aca="false">IF($A733="","",IFERROR(INDEX(Products!$B$2:$B$50,MATCH($E733,Products!$A$2:$A$50,0)),"Unmapped"))</f>
        <v/>
      </c>
      <c r="I733" s="41" t="str">
        <f aca="false">IF($A733="","",IFERROR(INDEX(Products!$C$2:$C$50,MATCH($E733,Products!$A$2:$A$50,0)),0))</f>
        <v/>
      </c>
      <c r="J733" s="41" t="str">
        <f aca="false">IF($A733="","",IFERROR(INDEX(Products!$D$2:$D$50,MATCH($E733,Products!$A$2:$A$50,0)),0))</f>
        <v/>
      </c>
      <c r="K733" s="41" t="str">
        <f aca="false">IF($A733="","",$F733*$I733*(1-$G733))</f>
        <v/>
      </c>
      <c r="L733" s="41" t="str">
        <f aca="false">IF($A733="","",$F733*$J733)</f>
        <v/>
      </c>
      <c r="M733" s="41" t="str">
        <f aca="false">IF($A733="","",$K733-$L733)</f>
        <v/>
      </c>
    </row>
    <row r="734" customFormat="false" ht="15" hidden="false" customHeight="false" outlineLevel="0" collapsed="false">
      <c r="H734" s="8" t="str">
        <f aca="false">IF($A734="","",IFERROR(INDEX(Products!$B$2:$B$50,MATCH($E734,Products!$A$2:$A$50,0)),"Unmapped"))</f>
        <v/>
      </c>
      <c r="I734" s="41" t="str">
        <f aca="false">IF($A734="","",IFERROR(INDEX(Products!$C$2:$C$50,MATCH($E734,Products!$A$2:$A$50,0)),0))</f>
        <v/>
      </c>
      <c r="J734" s="41" t="str">
        <f aca="false">IF($A734="","",IFERROR(INDEX(Products!$D$2:$D$50,MATCH($E734,Products!$A$2:$A$50,0)),0))</f>
        <v/>
      </c>
      <c r="K734" s="41" t="str">
        <f aca="false">IF($A734="","",$F734*$I734*(1-$G734))</f>
        <v/>
      </c>
      <c r="L734" s="41" t="str">
        <f aca="false">IF($A734="","",$F734*$J734)</f>
        <v/>
      </c>
      <c r="M734" s="41" t="str">
        <f aca="false">IF($A734="","",$K734-$L734)</f>
        <v/>
      </c>
    </row>
    <row r="735" customFormat="false" ht="15" hidden="false" customHeight="false" outlineLevel="0" collapsed="false">
      <c r="H735" s="8" t="str">
        <f aca="false">IF($A735="","",IFERROR(INDEX(Products!$B$2:$B$50,MATCH($E735,Products!$A$2:$A$50,0)),"Unmapped"))</f>
        <v/>
      </c>
      <c r="I735" s="41" t="str">
        <f aca="false">IF($A735="","",IFERROR(INDEX(Products!$C$2:$C$50,MATCH($E735,Products!$A$2:$A$50,0)),0))</f>
        <v/>
      </c>
      <c r="J735" s="41" t="str">
        <f aca="false">IF($A735="","",IFERROR(INDEX(Products!$D$2:$D$50,MATCH($E735,Products!$A$2:$A$50,0)),0))</f>
        <v/>
      </c>
      <c r="K735" s="41" t="str">
        <f aca="false">IF($A735="","",$F735*$I735*(1-$G735))</f>
        <v/>
      </c>
      <c r="L735" s="41" t="str">
        <f aca="false">IF($A735="","",$F735*$J735)</f>
        <v/>
      </c>
      <c r="M735" s="41" t="str">
        <f aca="false">IF($A735="","",$K735-$L735)</f>
        <v/>
      </c>
    </row>
    <row r="736" customFormat="false" ht="15" hidden="false" customHeight="false" outlineLevel="0" collapsed="false">
      <c r="H736" s="8" t="str">
        <f aca="false">IF($A736="","",IFERROR(INDEX(Products!$B$2:$B$50,MATCH($E736,Products!$A$2:$A$50,0)),"Unmapped"))</f>
        <v/>
      </c>
      <c r="I736" s="41" t="str">
        <f aca="false">IF($A736="","",IFERROR(INDEX(Products!$C$2:$C$50,MATCH($E736,Products!$A$2:$A$50,0)),0))</f>
        <v/>
      </c>
      <c r="J736" s="41" t="str">
        <f aca="false">IF($A736="","",IFERROR(INDEX(Products!$D$2:$D$50,MATCH($E736,Products!$A$2:$A$50,0)),0))</f>
        <v/>
      </c>
      <c r="K736" s="41" t="str">
        <f aca="false">IF($A736="","",$F736*$I736*(1-$G736))</f>
        <v/>
      </c>
      <c r="L736" s="41" t="str">
        <f aca="false">IF($A736="","",$F736*$J736)</f>
        <v/>
      </c>
      <c r="M736" s="41" t="str">
        <f aca="false">IF($A736="","",$K736-$L736)</f>
        <v/>
      </c>
    </row>
    <row r="737" customFormat="false" ht="15" hidden="false" customHeight="false" outlineLevel="0" collapsed="false">
      <c r="H737" s="8" t="str">
        <f aca="false">IF($A737="","",IFERROR(INDEX(Products!$B$2:$B$50,MATCH($E737,Products!$A$2:$A$50,0)),"Unmapped"))</f>
        <v/>
      </c>
      <c r="I737" s="41" t="str">
        <f aca="false">IF($A737="","",IFERROR(INDEX(Products!$C$2:$C$50,MATCH($E737,Products!$A$2:$A$50,0)),0))</f>
        <v/>
      </c>
      <c r="J737" s="41" t="str">
        <f aca="false">IF($A737="","",IFERROR(INDEX(Products!$D$2:$D$50,MATCH($E737,Products!$A$2:$A$50,0)),0))</f>
        <v/>
      </c>
      <c r="K737" s="41" t="str">
        <f aca="false">IF($A737="","",$F737*$I737*(1-$G737))</f>
        <v/>
      </c>
      <c r="L737" s="41" t="str">
        <f aca="false">IF($A737="","",$F737*$J737)</f>
        <v/>
      </c>
      <c r="M737" s="41" t="str">
        <f aca="false">IF($A737="","",$K737-$L737)</f>
        <v/>
      </c>
    </row>
    <row r="738" customFormat="false" ht="15" hidden="false" customHeight="false" outlineLevel="0" collapsed="false">
      <c r="H738" s="8" t="str">
        <f aca="false">IF($A738="","",IFERROR(INDEX(Products!$B$2:$B$50,MATCH($E738,Products!$A$2:$A$50,0)),"Unmapped"))</f>
        <v/>
      </c>
      <c r="I738" s="41" t="str">
        <f aca="false">IF($A738="","",IFERROR(INDEX(Products!$C$2:$C$50,MATCH($E738,Products!$A$2:$A$50,0)),0))</f>
        <v/>
      </c>
      <c r="J738" s="41" t="str">
        <f aca="false">IF($A738="","",IFERROR(INDEX(Products!$D$2:$D$50,MATCH($E738,Products!$A$2:$A$50,0)),0))</f>
        <v/>
      </c>
      <c r="K738" s="41" t="str">
        <f aca="false">IF($A738="","",$F738*$I738*(1-$G738))</f>
        <v/>
      </c>
      <c r="L738" s="41" t="str">
        <f aca="false">IF($A738="","",$F738*$J738)</f>
        <v/>
      </c>
      <c r="M738" s="41" t="str">
        <f aca="false">IF($A738="","",$K738-$L738)</f>
        <v/>
      </c>
    </row>
    <row r="739" customFormat="false" ht="15" hidden="false" customHeight="false" outlineLevel="0" collapsed="false">
      <c r="H739" s="8" t="str">
        <f aca="false">IF($A739="","",IFERROR(INDEX(Products!$B$2:$B$50,MATCH($E739,Products!$A$2:$A$50,0)),"Unmapped"))</f>
        <v/>
      </c>
      <c r="I739" s="41" t="str">
        <f aca="false">IF($A739="","",IFERROR(INDEX(Products!$C$2:$C$50,MATCH($E739,Products!$A$2:$A$50,0)),0))</f>
        <v/>
      </c>
      <c r="J739" s="41" t="str">
        <f aca="false">IF($A739="","",IFERROR(INDEX(Products!$D$2:$D$50,MATCH($E739,Products!$A$2:$A$50,0)),0))</f>
        <v/>
      </c>
      <c r="K739" s="41" t="str">
        <f aca="false">IF($A739="","",$F739*$I739*(1-$G739))</f>
        <v/>
      </c>
      <c r="L739" s="41" t="str">
        <f aca="false">IF($A739="","",$F739*$J739)</f>
        <v/>
      </c>
      <c r="M739" s="41" t="str">
        <f aca="false">IF($A739="","",$K739-$L739)</f>
        <v/>
      </c>
    </row>
    <row r="740" customFormat="false" ht="15" hidden="false" customHeight="false" outlineLevel="0" collapsed="false">
      <c r="H740" s="8" t="str">
        <f aca="false">IF($A740="","",IFERROR(INDEX(Products!$B$2:$B$50,MATCH($E740,Products!$A$2:$A$50,0)),"Unmapped"))</f>
        <v/>
      </c>
      <c r="I740" s="41" t="str">
        <f aca="false">IF($A740="","",IFERROR(INDEX(Products!$C$2:$C$50,MATCH($E740,Products!$A$2:$A$50,0)),0))</f>
        <v/>
      </c>
      <c r="J740" s="41" t="str">
        <f aca="false">IF($A740="","",IFERROR(INDEX(Products!$D$2:$D$50,MATCH($E740,Products!$A$2:$A$50,0)),0))</f>
        <v/>
      </c>
      <c r="K740" s="41" t="str">
        <f aca="false">IF($A740="","",$F740*$I740*(1-$G740))</f>
        <v/>
      </c>
      <c r="L740" s="41" t="str">
        <f aca="false">IF($A740="","",$F740*$J740)</f>
        <v/>
      </c>
      <c r="M740" s="41" t="str">
        <f aca="false">IF($A740="","",$K740-$L740)</f>
        <v/>
      </c>
    </row>
    <row r="741" customFormat="false" ht="15" hidden="false" customHeight="false" outlineLevel="0" collapsed="false">
      <c r="H741" s="8" t="str">
        <f aca="false">IF($A741="","",IFERROR(INDEX(Products!$B$2:$B$50,MATCH($E741,Products!$A$2:$A$50,0)),"Unmapped"))</f>
        <v/>
      </c>
      <c r="I741" s="41" t="str">
        <f aca="false">IF($A741="","",IFERROR(INDEX(Products!$C$2:$C$50,MATCH($E741,Products!$A$2:$A$50,0)),0))</f>
        <v/>
      </c>
      <c r="J741" s="41" t="str">
        <f aca="false">IF($A741="","",IFERROR(INDEX(Products!$D$2:$D$50,MATCH($E741,Products!$A$2:$A$50,0)),0))</f>
        <v/>
      </c>
      <c r="K741" s="41" t="str">
        <f aca="false">IF($A741="","",$F741*$I741*(1-$G741))</f>
        <v/>
      </c>
      <c r="L741" s="41" t="str">
        <f aca="false">IF($A741="","",$F741*$J741)</f>
        <v/>
      </c>
      <c r="M741" s="41" t="str">
        <f aca="false">IF($A741="","",$K741-$L741)</f>
        <v/>
      </c>
    </row>
    <row r="742" customFormat="false" ht="15" hidden="false" customHeight="false" outlineLevel="0" collapsed="false">
      <c r="H742" s="8" t="str">
        <f aca="false">IF($A742="","",IFERROR(INDEX(Products!$B$2:$B$50,MATCH($E742,Products!$A$2:$A$50,0)),"Unmapped"))</f>
        <v/>
      </c>
      <c r="I742" s="41" t="str">
        <f aca="false">IF($A742="","",IFERROR(INDEX(Products!$C$2:$C$50,MATCH($E742,Products!$A$2:$A$50,0)),0))</f>
        <v/>
      </c>
      <c r="J742" s="41" t="str">
        <f aca="false">IF($A742="","",IFERROR(INDEX(Products!$D$2:$D$50,MATCH($E742,Products!$A$2:$A$50,0)),0))</f>
        <v/>
      </c>
      <c r="K742" s="41" t="str">
        <f aca="false">IF($A742="","",$F742*$I742*(1-$G742))</f>
        <v/>
      </c>
      <c r="L742" s="41" t="str">
        <f aca="false">IF($A742="","",$F742*$J742)</f>
        <v/>
      </c>
      <c r="M742" s="41" t="str">
        <f aca="false">IF($A742="","",$K742-$L742)</f>
        <v/>
      </c>
    </row>
    <row r="743" customFormat="false" ht="15" hidden="false" customHeight="false" outlineLevel="0" collapsed="false">
      <c r="H743" s="8" t="str">
        <f aca="false">IF($A743="","",IFERROR(INDEX(Products!$B$2:$B$50,MATCH($E743,Products!$A$2:$A$50,0)),"Unmapped"))</f>
        <v/>
      </c>
      <c r="I743" s="41" t="str">
        <f aca="false">IF($A743="","",IFERROR(INDEX(Products!$C$2:$C$50,MATCH($E743,Products!$A$2:$A$50,0)),0))</f>
        <v/>
      </c>
      <c r="J743" s="41" t="str">
        <f aca="false">IF($A743="","",IFERROR(INDEX(Products!$D$2:$D$50,MATCH($E743,Products!$A$2:$A$50,0)),0))</f>
        <v/>
      </c>
      <c r="K743" s="41" t="str">
        <f aca="false">IF($A743="","",$F743*$I743*(1-$G743))</f>
        <v/>
      </c>
      <c r="L743" s="41" t="str">
        <f aca="false">IF($A743="","",$F743*$J743)</f>
        <v/>
      </c>
      <c r="M743" s="41" t="str">
        <f aca="false">IF($A743="","",$K743-$L743)</f>
        <v/>
      </c>
    </row>
    <row r="744" customFormat="false" ht="15" hidden="false" customHeight="false" outlineLevel="0" collapsed="false">
      <c r="H744" s="8" t="str">
        <f aca="false">IF($A744="","",IFERROR(INDEX(Products!$B$2:$B$50,MATCH($E744,Products!$A$2:$A$50,0)),"Unmapped"))</f>
        <v/>
      </c>
      <c r="I744" s="41" t="str">
        <f aca="false">IF($A744="","",IFERROR(INDEX(Products!$C$2:$C$50,MATCH($E744,Products!$A$2:$A$50,0)),0))</f>
        <v/>
      </c>
      <c r="J744" s="41" t="str">
        <f aca="false">IF($A744="","",IFERROR(INDEX(Products!$D$2:$D$50,MATCH($E744,Products!$A$2:$A$50,0)),0))</f>
        <v/>
      </c>
      <c r="K744" s="41" t="str">
        <f aca="false">IF($A744="","",$F744*$I744*(1-$G744))</f>
        <v/>
      </c>
      <c r="L744" s="41" t="str">
        <f aca="false">IF($A744="","",$F744*$J744)</f>
        <v/>
      </c>
      <c r="M744" s="41" t="str">
        <f aca="false">IF($A744="","",$K744-$L744)</f>
        <v/>
      </c>
    </row>
    <row r="745" customFormat="false" ht="15" hidden="false" customHeight="false" outlineLevel="0" collapsed="false">
      <c r="H745" s="8" t="str">
        <f aca="false">IF($A745="","",IFERROR(INDEX(Products!$B$2:$B$50,MATCH($E745,Products!$A$2:$A$50,0)),"Unmapped"))</f>
        <v/>
      </c>
      <c r="I745" s="41" t="str">
        <f aca="false">IF($A745="","",IFERROR(INDEX(Products!$C$2:$C$50,MATCH($E745,Products!$A$2:$A$50,0)),0))</f>
        <v/>
      </c>
      <c r="J745" s="41" t="str">
        <f aca="false">IF($A745="","",IFERROR(INDEX(Products!$D$2:$D$50,MATCH($E745,Products!$A$2:$A$50,0)),0))</f>
        <v/>
      </c>
      <c r="K745" s="41" t="str">
        <f aca="false">IF($A745="","",$F745*$I745*(1-$G745))</f>
        <v/>
      </c>
      <c r="L745" s="41" t="str">
        <f aca="false">IF($A745="","",$F745*$J745)</f>
        <v/>
      </c>
      <c r="M745" s="41" t="str">
        <f aca="false">IF($A745="","",$K745-$L745)</f>
        <v/>
      </c>
    </row>
    <row r="746" customFormat="false" ht="15" hidden="false" customHeight="false" outlineLevel="0" collapsed="false">
      <c r="H746" s="8" t="str">
        <f aca="false">IF($A746="","",IFERROR(INDEX(Products!$B$2:$B$50,MATCH($E746,Products!$A$2:$A$50,0)),"Unmapped"))</f>
        <v/>
      </c>
      <c r="I746" s="41" t="str">
        <f aca="false">IF($A746="","",IFERROR(INDEX(Products!$C$2:$C$50,MATCH($E746,Products!$A$2:$A$50,0)),0))</f>
        <v/>
      </c>
      <c r="J746" s="41" t="str">
        <f aca="false">IF($A746="","",IFERROR(INDEX(Products!$D$2:$D$50,MATCH($E746,Products!$A$2:$A$50,0)),0))</f>
        <v/>
      </c>
      <c r="K746" s="41" t="str">
        <f aca="false">IF($A746="","",$F746*$I746*(1-$G746))</f>
        <v/>
      </c>
      <c r="L746" s="41" t="str">
        <f aca="false">IF($A746="","",$F746*$J746)</f>
        <v/>
      </c>
      <c r="M746" s="41" t="str">
        <f aca="false">IF($A746="","",$K746-$L746)</f>
        <v/>
      </c>
    </row>
    <row r="747" customFormat="false" ht="15" hidden="false" customHeight="false" outlineLevel="0" collapsed="false">
      <c r="H747" s="8" t="str">
        <f aca="false">IF($A747="","",IFERROR(INDEX(Products!$B$2:$B$50,MATCH($E747,Products!$A$2:$A$50,0)),"Unmapped"))</f>
        <v/>
      </c>
      <c r="I747" s="41" t="str">
        <f aca="false">IF($A747="","",IFERROR(INDEX(Products!$C$2:$C$50,MATCH($E747,Products!$A$2:$A$50,0)),0))</f>
        <v/>
      </c>
      <c r="J747" s="41" t="str">
        <f aca="false">IF($A747="","",IFERROR(INDEX(Products!$D$2:$D$50,MATCH($E747,Products!$A$2:$A$50,0)),0))</f>
        <v/>
      </c>
      <c r="K747" s="41" t="str">
        <f aca="false">IF($A747="","",$F747*$I747*(1-$G747))</f>
        <v/>
      </c>
      <c r="L747" s="41" t="str">
        <f aca="false">IF($A747="","",$F747*$J747)</f>
        <v/>
      </c>
      <c r="M747" s="41" t="str">
        <f aca="false">IF($A747="","",$K747-$L747)</f>
        <v/>
      </c>
    </row>
    <row r="748" customFormat="false" ht="15" hidden="false" customHeight="false" outlineLevel="0" collapsed="false">
      <c r="H748" s="8" t="str">
        <f aca="false">IF($A748="","",IFERROR(INDEX(Products!$B$2:$B$50,MATCH($E748,Products!$A$2:$A$50,0)),"Unmapped"))</f>
        <v/>
      </c>
      <c r="I748" s="41" t="str">
        <f aca="false">IF($A748="","",IFERROR(INDEX(Products!$C$2:$C$50,MATCH($E748,Products!$A$2:$A$50,0)),0))</f>
        <v/>
      </c>
      <c r="J748" s="41" t="str">
        <f aca="false">IF($A748="","",IFERROR(INDEX(Products!$D$2:$D$50,MATCH($E748,Products!$A$2:$A$50,0)),0))</f>
        <v/>
      </c>
      <c r="K748" s="41" t="str">
        <f aca="false">IF($A748="","",$F748*$I748*(1-$G748))</f>
        <v/>
      </c>
      <c r="L748" s="41" t="str">
        <f aca="false">IF($A748="","",$F748*$J748)</f>
        <v/>
      </c>
      <c r="M748" s="41" t="str">
        <f aca="false">IF($A748="","",$K748-$L748)</f>
        <v/>
      </c>
    </row>
    <row r="749" customFormat="false" ht="15" hidden="false" customHeight="false" outlineLevel="0" collapsed="false">
      <c r="H749" s="8" t="str">
        <f aca="false">IF($A749="","",IFERROR(INDEX(Products!$B$2:$B$50,MATCH($E749,Products!$A$2:$A$50,0)),"Unmapped"))</f>
        <v/>
      </c>
      <c r="I749" s="41" t="str">
        <f aca="false">IF($A749="","",IFERROR(INDEX(Products!$C$2:$C$50,MATCH($E749,Products!$A$2:$A$50,0)),0))</f>
        <v/>
      </c>
      <c r="J749" s="41" t="str">
        <f aca="false">IF($A749="","",IFERROR(INDEX(Products!$D$2:$D$50,MATCH($E749,Products!$A$2:$A$50,0)),0))</f>
        <v/>
      </c>
      <c r="K749" s="41" t="str">
        <f aca="false">IF($A749="","",$F749*$I749*(1-$G749))</f>
        <v/>
      </c>
      <c r="L749" s="41" t="str">
        <f aca="false">IF($A749="","",$F749*$J749)</f>
        <v/>
      </c>
      <c r="M749" s="41" t="str">
        <f aca="false">IF($A749="","",$K749-$L749)</f>
        <v/>
      </c>
    </row>
    <row r="750" customFormat="false" ht="15" hidden="false" customHeight="false" outlineLevel="0" collapsed="false">
      <c r="H750" s="8" t="str">
        <f aca="false">IF($A750="","",IFERROR(INDEX(Products!$B$2:$B$50,MATCH($E750,Products!$A$2:$A$50,0)),"Unmapped"))</f>
        <v/>
      </c>
      <c r="I750" s="41" t="str">
        <f aca="false">IF($A750="","",IFERROR(INDEX(Products!$C$2:$C$50,MATCH($E750,Products!$A$2:$A$50,0)),0))</f>
        <v/>
      </c>
      <c r="J750" s="41" t="str">
        <f aca="false">IF($A750="","",IFERROR(INDEX(Products!$D$2:$D$50,MATCH($E750,Products!$A$2:$A$50,0)),0))</f>
        <v/>
      </c>
      <c r="K750" s="41" t="str">
        <f aca="false">IF($A750="","",$F750*$I750*(1-$G750))</f>
        <v/>
      </c>
      <c r="L750" s="41" t="str">
        <f aca="false">IF($A750="","",$F750*$J750)</f>
        <v/>
      </c>
      <c r="M750" s="41" t="str">
        <f aca="false">IF($A750="","",$K750-$L750)</f>
        <v/>
      </c>
    </row>
    <row r="751" customFormat="false" ht="15" hidden="false" customHeight="false" outlineLevel="0" collapsed="false">
      <c r="H751" s="8" t="str">
        <f aca="false">IF($A751="","",IFERROR(INDEX(Products!$B$2:$B$50,MATCH($E751,Products!$A$2:$A$50,0)),"Unmapped"))</f>
        <v/>
      </c>
      <c r="I751" s="41" t="str">
        <f aca="false">IF($A751="","",IFERROR(INDEX(Products!$C$2:$C$50,MATCH($E751,Products!$A$2:$A$50,0)),0))</f>
        <v/>
      </c>
      <c r="J751" s="41" t="str">
        <f aca="false">IF($A751="","",IFERROR(INDEX(Products!$D$2:$D$50,MATCH($E751,Products!$A$2:$A$50,0)),0))</f>
        <v/>
      </c>
      <c r="K751" s="41" t="str">
        <f aca="false">IF($A751="","",$F751*$I751*(1-$G751))</f>
        <v/>
      </c>
      <c r="L751" s="41" t="str">
        <f aca="false">IF($A751="","",$F751*$J751)</f>
        <v/>
      </c>
      <c r="M751" s="41" t="str">
        <f aca="false">IF($A751="","",$K751-$L751)</f>
        <v/>
      </c>
    </row>
    <row r="752" customFormat="false" ht="15" hidden="false" customHeight="false" outlineLevel="0" collapsed="false">
      <c r="H752" s="8" t="str">
        <f aca="false">IF($A752="","",IFERROR(INDEX(Products!$B$2:$B$50,MATCH($E752,Products!$A$2:$A$50,0)),"Unmapped"))</f>
        <v/>
      </c>
      <c r="I752" s="41" t="str">
        <f aca="false">IF($A752="","",IFERROR(INDEX(Products!$C$2:$C$50,MATCH($E752,Products!$A$2:$A$50,0)),0))</f>
        <v/>
      </c>
      <c r="J752" s="41" t="str">
        <f aca="false">IF($A752="","",IFERROR(INDEX(Products!$D$2:$D$50,MATCH($E752,Products!$A$2:$A$50,0)),0))</f>
        <v/>
      </c>
      <c r="K752" s="41" t="str">
        <f aca="false">IF($A752="","",$F752*$I752*(1-$G752))</f>
        <v/>
      </c>
      <c r="L752" s="41" t="str">
        <f aca="false">IF($A752="","",$F752*$J752)</f>
        <v/>
      </c>
      <c r="M752" s="41" t="str">
        <f aca="false">IF($A752="","",$K752-$L752)</f>
        <v/>
      </c>
    </row>
    <row r="753" customFormat="false" ht="15" hidden="false" customHeight="false" outlineLevel="0" collapsed="false">
      <c r="H753" s="8" t="str">
        <f aca="false">IF($A753="","",IFERROR(INDEX(Products!$B$2:$B$50,MATCH($E753,Products!$A$2:$A$50,0)),"Unmapped"))</f>
        <v/>
      </c>
      <c r="I753" s="41" t="str">
        <f aca="false">IF($A753="","",IFERROR(INDEX(Products!$C$2:$C$50,MATCH($E753,Products!$A$2:$A$50,0)),0))</f>
        <v/>
      </c>
      <c r="J753" s="41" t="str">
        <f aca="false">IF($A753="","",IFERROR(INDEX(Products!$D$2:$D$50,MATCH($E753,Products!$A$2:$A$50,0)),0))</f>
        <v/>
      </c>
      <c r="K753" s="41" t="str">
        <f aca="false">IF($A753="","",$F753*$I753*(1-$G753))</f>
        <v/>
      </c>
      <c r="L753" s="41" t="str">
        <f aca="false">IF($A753="","",$F753*$J753)</f>
        <v/>
      </c>
      <c r="M753" s="41" t="str">
        <f aca="false">IF($A753="","",$K753-$L753)</f>
        <v/>
      </c>
    </row>
    <row r="754" customFormat="false" ht="15" hidden="false" customHeight="false" outlineLevel="0" collapsed="false">
      <c r="H754" s="8" t="str">
        <f aca="false">IF($A754="","",IFERROR(INDEX(Products!$B$2:$B$50,MATCH($E754,Products!$A$2:$A$50,0)),"Unmapped"))</f>
        <v/>
      </c>
      <c r="I754" s="41" t="str">
        <f aca="false">IF($A754="","",IFERROR(INDEX(Products!$C$2:$C$50,MATCH($E754,Products!$A$2:$A$50,0)),0))</f>
        <v/>
      </c>
      <c r="J754" s="41" t="str">
        <f aca="false">IF($A754="","",IFERROR(INDEX(Products!$D$2:$D$50,MATCH($E754,Products!$A$2:$A$50,0)),0))</f>
        <v/>
      </c>
      <c r="K754" s="41" t="str">
        <f aca="false">IF($A754="","",$F754*$I754*(1-$G754))</f>
        <v/>
      </c>
      <c r="L754" s="41" t="str">
        <f aca="false">IF($A754="","",$F754*$J754)</f>
        <v/>
      </c>
      <c r="M754" s="41" t="str">
        <f aca="false">IF($A754="","",$K754-$L754)</f>
        <v/>
      </c>
    </row>
    <row r="755" customFormat="false" ht="15" hidden="false" customHeight="false" outlineLevel="0" collapsed="false">
      <c r="H755" s="8" t="str">
        <f aca="false">IF($A755="","",IFERROR(INDEX(Products!$B$2:$B$50,MATCH($E755,Products!$A$2:$A$50,0)),"Unmapped"))</f>
        <v/>
      </c>
      <c r="I755" s="41" t="str">
        <f aca="false">IF($A755="","",IFERROR(INDEX(Products!$C$2:$C$50,MATCH($E755,Products!$A$2:$A$50,0)),0))</f>
        <v/>
      </c>
      <c r="J755" s="41" t="str">
        <f aca="false">IF($A755="","",IFERROR(INDEX(Products!$D$2:$D$50,MATCH($E755,Products!$A$2:$A$50,0)),0))</f>
        <v/>
      </c>
      <c r="K755" s="41" t="str">
        <f aca="false">IF($A755="","",$F755*$I755*(1-$G755))</f>
        <v/>
      </c>
      <c r="L755" s="41" t="str">
        <f aca="false">IF($A755="","",$F755*$J755)</f>
        <v/>
      </c>
      <c r="M755" s="41" t="str">
        <f aca="false">IF($A755="","",$K755-$L755)</f>
        <v/>
      </c>
    </row>
    <row r="756" customFormat="false" ht="15" hidden="false" customHeight="false" outlineLevel="0" collapsed="false">
      <c r="H756" s="8" t="str">
        <f aca="false">IF($A756="","",IFERROR(INDEX(Products!$B$2:$B$50,MATCH($E756,Products!$A$2:$A$50,0)),"Unmapped"))</f>
        <v/>
      </c>
      <c r="I756" s="41" t="str">
        <f aca="false">IF($A756="","",IFERROR(INDEX(Products!$C$2:$C$50,MATCH($E756,Products!$A$2:$A$50,0)),0))</f>
        <v/>
      </c>
      <c r="J756" s="41" t="str">
        <f aca="false">IF($A756="","",IFERROR(INDEX(Products!$D$2:$D$50,MATCH($E756,Products!$A$2:$A$50,0)),0))</f>
        <v/>
      </c>
      <c r="K756" s="41" t="str">
        <f aca="false">IF($A756="","",$F756*$I756*(1-$G756))</f>
        <v/>
      </c>
      <c r="L756" s="41" t="str">
        <f aca="false">IF($A756="","",$F756*$J756)</f>
        <v/>
      </c>
      <c r="M756" s="41" t="str">
        <f aca="false">IF($A756="","",$K756-$L756)</f>
        <v/>
      </c>
    </row>
    <row r="757" customFormat="false" ht="15" hidden="false" customHeight="false" outlineLevel="0" collapsed="false">
      <c r="H757" s="8" t="str">
        <f aca="false">IF($A757="","",IFERROR(INDEX(Products!$B$2:$B$50,MATCH($E757,Products!$A$2:$A$50,0)),"Unmapped"))</f>
        <v/>
      </c>
      <c r="I757" s="41" t="str">
        <f aca="false">IF($A757="","",IFERROR(INDEX(Products!$C$2:$C$50,MATCH($E757,Products!$A$2:$A$50,0)),0))</f>
        <v/>
      </c>
      <c r="J757" s="41" t="str">
        <f aca="false">IF($A757="","",IFERROR(INDEX(Products!$D$2:$D$50,MATCH($E757,Products!$A$2:$A$50,0)),0))</f>
        <v/>
      </c>
      <c r="K757" s="41" t="str">
        <f aca="false">IF($A757="","",$F757*$I757*(1-$G757))</f>
        <v/>
      </c>
      <c r="L757" s="41" t="str">
        <f aca="false">IF($A757="","",$F757*$J757)</f>
        <v/>
      </c>
      <c r="M757" s="41" t="str">
        <f aca="false">IF($A757="","",$K757-$L757)</f>
        <v/>
      </c>
    </row>
    <row r="758" customFormat="false" ht="15" hidden="false" customHeight="false" outlineLevel="0" collapsed="false">
      <c r="H758" s="8" t="str">
        <f aca="false">IF($A758="","",IFERROR(INDEX(Products!$B$2:$B$50,MATCH($E758,Products!$A$2:$A$50,0)),"Unmapped"))</f>
        <v/>
      </c>
      <c r="I758" s="41" t="str">
        <f aca="false">IF($A758="","",IFERROR(INDEX(Products!$C$2:$C$50,MATCH($E758,Products!$A$2:$A$50,0)),0))</f>
        <v/>
      </c>
      <c r="J758" s="41" t="str">
        <f aca="false">IF($A758="","",IFERROR(INDEX(Products!$D$2:$D$50,MATCH($E758,Products!$A$2:$A$50,0)),0))</f>
        <v/>
      </c>
      <c r="K758" s="41" t="str">
        <f aca="false">IF($A758="","",$F758*$I758*(1-$G758))</f>
        <v/>
      </c>
      <c r="L758" s="41" t="str">
        <f aca="false">IF($A758="","",$F758*$J758)</f>
        <v/>
      </c>
      <c r="M758" s="41" t="str">
        <f aca="false">IF($A758="","",$K758-$L758)</f>
        <v/>
      </c>
    </row>
    <row r="759" customFormat="false" ht="15" hidden="false" customHeight="false" outlineLevel="0" collapsed="false">
      <c r="H759" s="8" t="str">
        <f aca="false">IF($A759="","",IFERROR(INDEX(Products!$B$2:$B$50,MATCH($E759,Products!$A$2:$A$50,0)),"Unmapped"))</f>
        <v/>
      </c>
      <c r="I759" s="41" t="str">
        <f aca="false">IF($A759="","",IFERROR(INDEX(Products!$C$2:$C$50,MATCH($E759,Products!$A$2:$A$50,0)),0))</f>
        <v/>
      </c>
      <c r="J759" s="41" t="str">
        <f aca="false">IF($A759="","",IFERROR(INDEX(Products!$D$2:$D$50,MATCH($E759,Products!$A$2:$A$50,0)),0))</f>
        <v/>
      </c>
      <c r="K759" s="41" t="str">
        <f aca="false">IF($A759="","",$F759*$I759*(1-$G759))</f>
        <v/>
      </c>
      <c r="L759" s="41" t="str">
        <f aca="false">IF($A759="","",$F759*$J759)</f>
        <v/>
      </c>
      <c r="M759" s="41" t="str">
        <f aca="false">IF($A759="","",$K759-$L759)</f>
        <v/>
      </c>
    </row>
    <row r="760" customFormat="false" ht="15" hidden="false" customHeight="false" outlineLevel="0" collapsed="false">
      <c r="H760" s="8" t="str">
        <f aca="false">IF($A760="","",IFERROR(INDEX(Products!$B$2:$B$50,MATCH($E760,Products!$A$2:$A$50,0)),"Unmapped"))</f>
        <v/>
      </c>
      <c r="I760" s="41" t="str">
        <f aca="false">IF($A760="","",IFERROR(INDEX(Products!$C$2:$C$50,MATCH($E760,Products!$A$2:$A$50,0)),0))</f>
        <v/>
      </c>
      <c r="J760" s="41" t="str">
        <f aca="false">IF($A760="","",IFERROR(INDEX(Products!$D$2:$D$50,MATCH($E760,Products!$A$2:$A$50,0)),0))</f>
        <v/>
      </c>
      <c r="K760" s="41" t="str">
        <f aca="false">IF($A760="","",$F760*$I760*(1-$G760))</f>
        <v/>
      </c>
      <c r="L760" s="41" t="str">
        <f aca="false">IF($A760="","",$F760*$J760)</f>
        <v/>
      </c>
      <c r="M760" s="41" t="str">
        <f aca="false">IF($A760="","",$K760-$L760)</f>
        <v/>
      </c>
    </row>
    <row r="761" customFormat="false" ht="15" hidden="false" customHeight="false" outlineLevel="0" collapsed="false">
      <c r="H761" s="8" t="str">
        <f aca="false">IF($A761="","",IFERROR(INDEX(Products!$B$2:$B$50,MATCH($E761,Products!$A$2:$A$50,0)),"Unmapped"))</f>
        <v/>
      </c>
      <c r="I761" s="41" t="str">
        <f aca="false">IF($A761="","",IFERROR(INDEX(Products!$C$2:$C$50,MATCH($E761,Products!$A$2:$A$50,0)),0))</f>
        <v/>
      </c>
      <c r="J761" s="41" t="str">
        <f aca="false">IF($A761="","",IFERROR(INDEX(Products!$D$2:$D$50,MATCH($E761,Products!$A$2:$A$50,0)),0))</f>
        <v/>
      </c>
      <c r="K761" s="41" t="str">
        <f aca="false">IF($A761="","",$F761*$I761*(1-$G761))</f>
        <v/>
      </c>
      <c r="L761" s="41" t="str">
        <f aca="false">IF($A761="","",$F761*$J761)</f>
        <v/>
      </c>
      <c r="M761" s="41" t="str">
        <f aca="false">IF($A761="","",$K761-$L761)</f>
        <v/>
      </c>
    </row>
    <row r="762" customFormat="false" ht="15" hidden="false" customHeight="false" outlineLevel="0" collapsed="false">
      <c r="H762" s="8" t="str">
        <f aca="false">IF($A762="","",IFERROR(INDEX(Products!$B$2:$B$50,MATCH($E762,Products!$A$2:$A$50,0)),"Unmapped"))</f>
        <v/>
      </c>
      <c r="I762" s="41" t="str">
        <f aca="false">IF($A762="","",IFERROR(INDEX(Products!$C$2:$C$50,MATCH($E762,Products!$A$2:$A$50,0)),0))</f>
        <v/>
      </c>
      <c r="J762" s="41" t="str">
        <f aca="false">IF($A762="","",IFERROR(INDEX(Products!$D$2:$D$50,MATCH($E762,Products!$A$2:$A$50,0)),0))</f>
        <v/>
      </c>
      <c r="K762" s="41" t="str">
        <f aca="false">IF($A762="","",$F762*$I762*(1-$G762))</f>
        <v/>
      </c>
      <c r="L762" s="41" t="str">
        <f aca="false">IF($A762="","",$F762*$J762)</f>
        <v/>
      </c>
      <c r="M762" s="41" t="str">
        <f aca="false">IF($A762="","",$K762-$L762)</f>
        <v/>
      </c>
    </row>
    <row r="763" customFormat="false" ht="15" hidden="false" customHeight="false" outlineLevel="0" collapsed="false">
      <c r="H763" s="8" t="str">
        <f aca="false">IF($A763="","",IFERROR(INDEX(Products!$B$2:$B$50,MATCH($E763,Products!$A$2:$A$50,0)),"Unmapped"))</f>
        <v/>
      </c>
      <c r="I763" s="41" t="str">
        <f aca="false">IF($A763="","",IFERROR(INDEX(Products!$C$2:$C$50,MATCH($E763,Products!$A$2:$A$50,0)),0))</f>
        <v/>
      </c>
      <c r="J763" s="41" t="str">
        <f aca="false">IF($A763="","",IFERROR(INDEX(Products!$D$2:$D$50,MATCH($E763,Products!$A$2:$A$50,0)),0))</f>
        <v/>
      </c>
      <c r="K763" s="41" t="str">
        <f aca="false">IF($A763="","",$F763*$I763*(1-$G763))</f>
        <v/>
      </c>
      <c r="L763" s="41" t="str">
        <f aca="false">IF($A763="","",$F763*$J763)</f>
        <v/>
      </c>
      <c r="M763" s="41" t="str">
        <f aca="false">IF($A763="","",$K763-$L763)</f>
        <v/>
      </c>
    </row>
    <row r="764" customFormat="false" ht="15" hidden="false" customHeight="false" outlineLevel="0" collapsed="false">
      <c r="H764" s="8" t="str">
        <f aca="false">IF($A764="","",IFERROR(INDEX(Products!$B$2:$B$50,MATCH($E764,Products!$A$2:$A$50,0)),"Unmapped"))</f>
        <v/>
      </c>
      <c r="I764" s="41" t="str">
        <f aca="false">IF($A764="","",IFERROR(INDEX(Products!$C$2:$C$50,MATCH($E764,Products!$A$2:$A$50,0)),0))</f>
        <v/>
      </c>
      <c r="J764" s="41" t="str">
        <f aca="false">IF($A764="","",IFERROR(INDEX(Products!$D$2:$D$50,MATCH($E764,Products!$A$2:$A$50,0)),0))</f>
        <v/>
      </c>
      <c r="K764" s="41" t="str">
        <f aca="false">IF($A764="","",$F764*$I764*(1-$G764))</f>
        <v/>
      </c>
      <c r="L764" s="41" t="str">
        <f aca="false">IF($A764="","",$F764*$J764)</f>
        <v/>
      </c>
      <c r="M764" s="41" t="str">
        <f aca="false">IF($A764="","",$K764-$L764)</f>
        <v/>
      </c>
    </row>
    <row r="765" customFormat="false" ht="15" hidden="false" customHeight="false" outlineLevel="0" collapsed="false">
      <c r="H765" s="8" t="str">
        <f aca="false">IF($A765="","",IFERROR(INDEX(Products!$B$2:$B$50,MATCH($E765,Products!$A$2:$A$50,0)),"Unmapped"))</f>
        <v/>
      </c>
      <c r="I765" s="41" t="str">
        <f aca="false">IF($A765="","",IFERROR(INDEX(Products!$C$2:$C$50,MATCH($E765,Products!$A$2:$A$50,0)),0))</f>
        <v/>
      </c>
      <c r="J765" s="41" t="str">
        <f aca="false">IF($A765="","",IFERROR(INDEX(Products!$D$2:$D$50,MATCH($E765,Products!$A$2:$A$50,0)),0))</f>
        <v/>
      </c>
      <c r="K765" s="41" t="str">
        <f aca="false">IF($A765="","",$F765*$I765*(1-$G765))</f>
        <v/>
      </c>
      <c r="L765" s="41" t="str">
        <f aca="false">IF($A765="","",$F765*$J765)</f>
        <v/>
      </c>
      <c r="M765" s="41" t="str">
        <f aca="false">IF($A765="","",$K765-$L765)</f>
        <v/>
      </c>
    </row>
    <row r="766" customFormat="false" ht="15" hidden="false" customHeight="false" outlineLevel="0" collapsed="false">
      <c r="H766" s="8" t="str">
        <f aca="false">IF($A766="","",IFERROR(INDEX(Products!$B$2:$B$50,MATCH($E766,Products!$A$2:$A$50,0)),"Unmapped"))</f>
        <v/>
      </c>
      <c r="I766" s="41" t="str">
        <f aca="false">IF($A766="","",IFERROR(INDEX(Products!$C$2:$C$50,MATCH($E766,Products!$A$2:$A$50,0)),0))</f>
        <v/>
      </c>
      <c r="J766" s="41" t="str">
        <f aca="false">IF($A766="","",IFERROR(INDEX(Products!$D$2:$D$50,MATCH($E766,Products!$A$2:$A$50,0)),0))</f>
        <v/>
      </c>
      <c r="K766" s="41" t="str">
        <f aca="false">IF($A766="","",$F766*$I766*(1-$G766))</f>
        <v/>
      </c>
      <c r="L766" s="41" t="str">
        <f aca="false">IF($A766="","",$F766*$J766)</f>
        <v/>
      </c>
      <c r="M766" s="41" t="str">
        <f aca="false">IF($A766="","",$K766-$L766)</f>
        <v/>
      </c>
    </row>
    <row r="767" customFormat="false" ht="15" hidden="false" customHeight="false" outlineLevel="0" collapsed="false">
      <c r="H767" s="8" t="str">
        <f aca="false">IF($A767="","",IFERROR(INDEX(Products!$B$2:$B$50,MATCH($E767,Products!$A$2:$A$50,0)),"Unmapped"))</f>
        <v/>
      </c>
      <c r="I767" s="41" t="str">
        <f aca="false">IF($A767="","",IFERROR(INDEX(Products!$C$2:$C$50,MATCH($E767,Products!$A$2:$A$50,0)),0))</f>
        <v/>
      </c>
      <c r="J767" s="41" t="str">
        <f aca="false">IF($A767="","",IFERROR(INDEX(Products!$D$2:$D$50,MATCH($E767,Products!$A$2:$A$50,0)),0))</f>
        <v/>
      </c>
      <c r="K767" s="41" t="str">
        <f aca="false">IF($A767="","",$F767*$I767*(1-$G767))</f>
        <v/>
      </c>
      <c r="L767" s="41" t="str">
        <f aca="false">IF($A767="","",$F767*$J767)</f>
        <v/>
      </c>
      <c r="M767" s="41" t="str">
        <f aca="false">IF($A767="","",$K767-$L767)</f>
        <v/>
      </c>
    </row>
    <row r="768" customFormat="false" ht="15" hidden="false" customHeight="false" outlineLevel="0" collapsed="false">
      <c r="H768" s="8" t="str">
        <f aca="false">IF($A768="","",IFERROR(INDEX(Products!$B$2:$B$50,MATCH($E768,Products!$A$2:$A$50,0)),"Unmapped"))</f>
        <v/>
      </c>
      <c r="I768" s="41" t="str">
        <f aca="false">IF($A768="","",IFERROR(INDEX(Products!$C$2:$C$50,MATCH($E768,Products!$A$2:$A$50,0)),0))</f>
        <v/>
      </c>
      <c r="J768" s="41" t="str">
        <f aca="false">IF($A768="","",IFERROR(INDEX(Products!$D$2:$D$50,MATCH($E768,Products!$A$2:$A$50,0)),0))</f>
        <v/>
      </c>
      <c r="K768" s="41" t="str">
        <f aca="false">IF($A768="","",$F768*$I768*(1-$G768))</f>
        <v/>
      </c>
      <c r="L768" s="41" t="str">
        <f aca="false">IF($A768="","",$F768*$J768)</f>
        <v/>
      </c>
      <c r="M768" s="41" t="str">
        <f aca="false">IF($A768="","",$K768-$L768)</f>
        <v/>
      </c>
    </row>
    <row r="769" customFormat="false" ht="15" hidden="false" customHeight="false" outlineLevel="0" collapsed="false">
      <c r="H769" s="8" t="str">
        <f aca="false">IF($A769="","",IFERROR(INDEX(Products!$B$2:$B$50,MATCH($E769,Products!$A$2:$A$50,0)),"Unmapped"))</f>
        <v/>
      </c>
      <c r="I769" s="41" t="str">
        <f aca="false">IF($A769="","",IFERROR(INDEX(Products!$C$2:$C$50,MATCH($E769,Products!$A$2:$A$50,0)),0))</f>
        <v/>
      </c>
      <c r="J769" s="41" t="str">
        <f aca="false">IF($A769="","",IFERROR(INDEX(Products!$D$2:$D$50,MATCH($E769,Products!$A$2:$A$50,0)),0))</f>
        <v/>
      </c>
      <c r="K769" s="41" t="str">
        <f aca="false">IF($A769="","",$F769*$I769*(1-$G769))</f>
        <v/>
      </c>
      <c r="L769" s="41" t="str">
        <f aca="false">IF($A769="","",$F769*$J769)</f>
        <v/>
      </c>
      <c r="M769" s="41" t="str">
        <f aca="false">IF($A769="","",$K769-$L769)</f>
        <v/>
      </c>
    </row>
    <row r="770" customFormat="false" ht="15" hidden="false" customHeight="false" outlineLevel="0" collapsed="false">
      <c r="H770" s="8" t="str">
        <f aca="false">IF($A770="","",IFERROR(INDEX(Products!$B$2:$B$50,MATCH($E770,Products!$A$2:$A$50,0)),"Unmapped"))</f>
        <v/>
      </c>
      <c r="I770" s="41" t="str">
        <f aca="false">IF($A770="","",IFERROR(INDEX(Products!$C$2:$C$50,MATCH($E770,Products!$A$2:$A$50,0)),0))</f>
        <v/>
      </c>
      <c r="J770" s="41" t="str">
        <f aca="false">IF($A770="","",IFERROR(INDEX(Products!$D$2:$D$50,MATCH($E770,Products!$A$2:$A$50,0)),0))</f>
        <v/>
      </c>
      <c r="K770" s="41" t="str">
        <f aca="false">IF($A770="","",$F770*$I770*(1-$G770))</f>
        <v/>
      </c>
      <c r="L770" s="41" t="str">
        <f aca="false">IF($A770="","",$F770*$J770)</f>
        <v/>
      </c>
      <c r="M770" s="41" t="str">
        <f aca="false">IF($A770="","",$K770-$L770)</f>
        <v/>
      </c>
    </row>
    <row r="771" customFormat="false" ht="15" hidden="false" customHeight="false" outlineLevel="0" collapsed="false">
      <c r="H771" s="8" t="str">
        <f aca="false">IF($A771="","",IFERROR(INDEX(Products!$B$2:$B$50,MATCH($E771,Products!$A$2:$A$50,0)),"Unmapped"))</f>
        <v/>
      </c>
      <c r="I771" s="41" t="str">
        <f aca="false">IF($A771="","",IFERROR(INDEX(Products!$C$2:$C$50,MATCH($E771,Products!$A$2:$A$50,0)),0))</f>
        <v/>
      </c>
      <c r="J771" s="41" t="str">
        <f aca="false">IF($A771="","",IFERROR(INDEX(Products!$D$2:$D$50,MATCH($E771,Products!$A$2:$A$50,0)),0))</f>
        <v/>
      </c>
      <c r="K771" s="41" t="str">
        <f aca="false">IF($A771="","",$F771*$I771*(1-$G771))</f>
        <v/>
      </c>
      <c r="L771" s="41" t="str">
        <f aca="false">IF($A771="","",$F771*$J771)</f>
        <v/>
      </c>
      <c r="M771" s="41" t="str">
        <f aca="false">IF($A771="","",$K771-$L771)</f>
        <v/>
      </c>
    </row>
    <row r="772" customFormat="false" ht="15" hidden="false" customHeight="false" outlineLevel="0" collapsed="false">
      <c r="H772" s="8" t="str">
        <f aca="false">IF($A772="","",IFERROR(INDEX(Products!$B$2:$B$50,MATCH($E772,Products!$A$2:$A$50,0)),"Unmapped"))</f>
        <v/>
      </c>
      <c r="I772" s="41" t="str">
        <f aca="false">IF($A772="","",IFERROR(INDEX(Products!$C$2:$C$50,MATCH($E772,Products!$A$2:$A$50,0)),0))</f>
        <v/>
      </c>
      <c r="J772" s="41" t="str">
        <f aca="false">IF($A772="","",IFERROR(INDEX(Products!$D$2:$D$50,MATCH($E772,Products!$A$2:$A$50,0)),0))</f>
        <v/>
      </c>
      <c r="K772" s="41" t="str">
        <f aca="false">IF($A772="","",$F772*$I772*(1-$G772))</f>
        <v/>
      </c>
      <c r="L772" s="41" t="str">
        <f aca="false">IF($A772="","",$F772*$J772)</f>
        <v/>
      </c>
      <c r="M772" s="41" t="str">
        <f aca="false">IF($A772="","",$K772-$L772)</f>
        <v/>
      </c>
    </row>
    <row r="773" customFormat="false" ht="15" hidden="false" customHeight="false" outlineLevel="0" collapsed="false">
      <c r="H773" s="8" t="str">
        <f aca="false">IF($A773="","",IFERROR(INDEX(Products!$B$2:$B$50,MATCH($E773,Products!$A$2:$A$50,0)),"Unmapped"))</f>
        <v/>
      </c>
      <c r="I773" s="41" t="str">
        <f aca="false">IF($A773="","",IFERROR(INDEX(Products!$C$2:$C$50,MATCH($E773,Products!$A$2:$A$50,0)),0))</f>
        <v/>
      </c>
      <c r="J773" s="41" t="str">
        <f aca="false">IF($A773="","",IFERROR(INDEX(Products!$D$2:$D$50,MATCH($E773,Products!$A$2:$A$50,0)),0))</f>
        <v/>
      </c>
      <c r="K773" s="41" t="str">
        <f aca="false">IF($A773="","",$F773*$I773*(1-$G773))</f>
        <v/>
      </c>
      <c r="L773" s="41" t="str">
        <f aca="false">IF($A773="","",$F773*$J773)</f>
        <v/>
      </c>
      <c r="M773" s="41" t="str">
        <f aca="false">IF($A773="","",$K773-$L773)</f>
        <v/>
      </c>
    </row>
    <row r="774" customFormat="false" ht="15" hidden="false" customHeight="false" outlineLevel="0" collapsed="false">
      <c r="H774" s="8" t="str">
        <f aca="false">IF($A774="","",IFERROR(INDEX(Products!$B$2:$B$50,MATCH($E774,Products!$A$2:$A$50,0)),"Unmapped"))</f>
        <v/>
      </c>
      <c r="I774" s="41" t="str">
        <f aca="false">IF($A774="","",IFERROR(INDEX(Products!$C$2:$C$50,MATCH($E774,Products!$A$2:$A$50,0)),0))</f>
        <v/>
      </c>
      <c r="J774" s="41" t="str">
        <f aca="false">IF($A774="","",IFERROR(INDEX(Products!$D$2:$D$50,MATCH($E774,Products!$A$2:$A$50,0)),0))</f>
        <v/>
      </c>
      <c r="K774" s="41" t="str">
        <f aca="false">IF($A774="","",$F774*$I774*(1-$G774))</f>
        <v/>
      </c>
      <c r="L774" s="41" t="str">
        <f aca="false">IF($A774="","",$F774*$J774)</f>
        <v/>
      </c>
      <c r="M774" s="41" t="str">
        <f aca="false">IF($A774="","",$K774-$L774)</f>
        <v/>
      </c>
    </row>
    <row r="775" customFormat="false" ht="15" hidden="false" customHeight="false" outlineLevel="0" collapsed="false">
      <c r="H775" s="8" t="str">
        <f aca="false">IF($A775="","",IFERROR(INDEX(Products!$B$2:$B$50,MATCH($E775,Products!$A$2:$A$50,0)),"Unmapped"))</f>
        <v/>
      </c>
      <c r="I775" s="41" t="str">
        <f aca="false">IF($A775="","",IFERROR(INDEX(Products!$C$2:$C$50,MATCH($E775,Products!$A$2:$A$50,0)),0))</f>
        <v/>
      </c>
      <c r="J775" s="41" t="str">
        <f aca="false">IF($A775="","",IFERROR(INDEX(Products!$D$2:$D$50,MATCH($E775,Products!$A$2:$A$50,0)),0))</f>
        <v/>
      </c>
      <c r="K775" s="41" t="str">
        <f aca="false">IF($A775="","",$F775*$I775*(1-$G775))</f>
        <v/>
      </c>
      <c r="L775" s="41" t="str">
        <f aca="false">IF($A775="","",$F775*$J775)</f>
        <v/>
      </c>
      <c r="M775" s="41" t="str">
        <f aca="false">IF($A775="","",$K775-$L775)</f>
        <v/>
      </c>
    </row>
    <row r="776" customFormat="false" ht="15" hidden="false" customHeight="false" outlineLevel="0" collapsed="false">
      <c r="H776" s="8" t="str">
        <f aca="false">IF($A776="","",IFERROR(INDEX(Products!$B$2:$B$50,MATCH($E776,Products!$A$2:$A$50,0)),"Unmapped"))</f>
        <v/>
      </c>
      <c r="I776" s="41" t="str">
        <f aca="false">IF($A776="","",IFERROR(INDEX(Products!$C$2:$C$50,MATCH($E776,Products!$A$2:$A$50,0)),0))</f>
        <v/>
      </c>
      <c r="J776" s="41" t="str">
        <f aca="false">IF($A776="","",IFERROR(INDEX(Products!$D$2:$D$50,MATCH($E776,Products!$A$2:$A$50,0)),0))</f>
        <v/>
      </c>
      <c r="K776" s="41" t="str">
        <f aca="false">IF($A776="","",$F776*$I776*(1-$G776))</f>
        <v/>
      </c>
      <c r="L776" s="41" t="str">
        <f aca="false">IF($A776="","",$F776*$J776)</f>
        <v/>
      </c>
      <c r="M776" s="41" t="str">
        <f aca="false">IF($A776="","",$K776-$L776)</f>
        <v/>
      </c>
    </row>
    <row r="777" customFormat="false" ht="15" hidden="false" customHeight="false" outlineLevel="0" collapsed="false">
      <c r="H777" s="8" t="str">
        <f aca="false">IF($A777="","",IFERROR(INDEX(Products!$B$2:$B$50,MATCH($E777,Products!$A$2:$A$50,0)),"Unmapped"))</f>
        <v/>
      </c>
      <c r="I777" s="41" t="str">
        <f aca="false">IF($A777="","",IFERROR(INDEX(Products!$C$2:$C$50,MATCH($E777,Products!$A$2:$A$50,0)),0))</f>
        <v/>
      </c>
      <c r="J777" s="41" t="str">
        <f aca="false">IF($A777="","",IFERROR(INDEX(Products!$D$2:$D$50,MATCH($E777,Products!$A$2:$A$50,0)),0))</f>
        <v/>
      </c>
      <c r="K777" s="41" t="str">
        <f aca="false">IF($A777="","",$F777*$I777*(1-$G777))</f>
        <v/>
      </c>
      <c r="L777" s="41" t="str">
        <f aca="false">IF($A777="","",$F777*$J777)</f>
        <v/>
      </c>
      <c r="M777" s="41" t="str">
        <f aca="false">IF($A777="","",$K777-$L777)</f>
        <v/>
      </c>
    </row>
    <row r="778" customFormat="false" ht="15" hidden="false" customHeight="false" outlineLevel="0" collapsed="false">
      <c r="H778" s="8" t="str">
        <f aca="false">IF($A778="","",IFERROR(INDEX(Products!$B$2:$B$50,MATCH($E778,Products!$A$2:$A$50,0)),"Unmapped"))</f>
        <v/>
      </c>
      <c r="I778" s="41" t="str">
        <f aca="false">IF($A778="","",IFERROR(INDEX(Products!$C$2:$C$50,MATCH($E778,Products!$A$2:$A$50,0)),0))</f>
        <v/>
      </c>
      <c r="J778" s="41" t="str">
        <f aca="false">IF($A778="","",IFERROR(INDEX(Products!$D$2:$D$50,MATCH($E778,Products!$A$2:$A$50,0)),0))</f>
        <v/>
      </c>
      <c r="K778" s="41" t="str">
        <f aca="false">IF($A778="","",$F778*$I778*(1-$G778))</f>
        <v/>
      </c>
      <c r="L778" s="41" t="str">
        <f aca="false">IF($A778="","",$F778*$J778)</f>
        <v/>
      </c>
      <c r="M778" s="41" t="str">
        <f aca="false">IF($A778="","",$K778-$L778)</f>
        <v/>
      </c>
    </row>
    <row r="779" customFormat="false" ht="15" hidden="false" customHeight="false" outlineLevel="0" collapsed="false">
      <c r="H779" s="8" t="str">
        <f aca="false">IF($A779="","",IFERROR(INDEX(Products!$B$2:$B$50,MATCH($E779,Products!$A$2:$A$50,0)),"Unmapped"))</f>
        <v/>
      </c>
      <c r="I779" s="41" t="str">
        <f aca="false">IF($A779="","",IFERROR(INDEX(Products!$C$2:$C$50,MATCH($E779,Products!$A$2:$A$50,0)),0))</f>
        <v/>
      </c>
      <c r="J779" s="41" t="str">
        <f aca="false">IF($A779="","",IFERROR(INDEX(Products!$D$2:$D$50,MATCH($E779,Products!$A$2:$A$50,0)),0))</f>
        <v/>
      </c>
      <c r="K779" s="41" t="str">
        <f aca="false">IF($A779="","",$F779*$I779*(1-$G779))</f>
        <v/>
      </c>
      <c r="L779" s="41" t="str">
        <f aca="false">IF($A779="","",$F779*$J779)</f>
        <v/>
      </c>
      <c r="M779" s="41" t="str">
        <f aca="false">IF($A779="","",$K779-$L779)</f>
        <v/>
      </c>
    </row>
    <row r="780" customFormat="false" ht="15" hidden="false" customHeight="false" outlineLevel="0" collapsed="false">
      <c r="H780" s="8" t="str">
        <f aca="false">IF($A780="","",IFERROR(INDEX(Products!$B$2:$B$50,MATCH($E780,Products!$A$2:$A$50,0)),"Unmapped"))</f>
        <v/>
      </c>
      <c r="I780" s="41" t="str">
        <f aca="false">IF($A780="","",IFERROR(INDEX(Products!$C$2:$C$50,MATCH($E780,Products!$A$2:$A$50,0)),0))</f>
        <v/>
      </c>
      <c r="J780" s="41" t="str">
        <f aca="false">IF($A780="","",IFERROR(INDEX(Products!$D$2:$D$50,MATCH($E780,Products!$A$2:$A$50,0)),0))</f>
        <v/>
      </c>
      <c r="K780" s="41" t="str">
        <f aca="false">IF($A780="","",$F780*$I780*(1-$G780))</f>
        <v/>
      </c>
      <c r="L780" s="41" t="str">
        <f aca="false">IF($A780="","",$F780*$J780)</f>
        <v/>
      </c>
      <c r="M780" s="41" t="str">
        <f aca="false">IF($A780="","",$K780-$L780)</f>
        <v/>
      </c>
    </row>
    <row r="781" customFormat="false" ht="15" hidden="false" customHeight="false" outlineLevel="0" collapsed="false">
      <c r="H781" s="8" t="str">
        <f aca="false">IF($A781="","",IFERROR(INDEX(Products!$B$2:$B$50,MATCH($E781,Products!$A$2:$A$50,0)),"Unmapped"))</f>
        <v/>
      </c>
      <c r="I781" s="41" t="str">
        <f aca="false">IF($A781="","",IFERROR(INDEX(Products!$C$2:$C$50,MATCH($E781,Products!$A$2:$A$50,0)),0))</f>
        <v/>
      </c>
      <c r="J781" s="41" t="str">
        <f aca="false">IF($A781="","",IFERROR(INDEX(Products!$D$2:$D$50,MATCH($E781,Products!$A$2:$A$50,0)),0))</f>
        <v/>
      </c>
      <c r="K781" s="41" t="str">
        <f aca="false">IF($A781="","",$F781*$I781*(1-$G781))</f>
        <v/>
      </c>
      <c r="L781" s="41" t="str">
        <f aca="false">IF($A781="","",$F781*$J781)</f>
        <v/>
      </c>
      <c r="M781" s="41" t="str">
        <f aca="false">IF($A781="","",$K781-$L781)</f>
        <v/>
      </c>
    </row>
    <row r="782" customFormat="false" ht="15" hidden="false" customHeight="false" outlineLevel="0" collapsed="false">
      <c r="H782" s="8" t="str">
        <f aca="false">IF($A782="","",IFERROR(INDEX(Products!$B$2:$B$50,MATCH($E782,Products!$A$2:$A$50,0)),"Unmapped"))</f>
        <v/>
      </c>
      <c r="I782" s="41" t="str">
        <f aca="false">IF($A782="","",IFERROR(INDEX(Products!$C$2:$C$50,MATCH($E782,Products!$A$2:$A$50,0)),0))</f>
        <v/>
      </c>
      <c r="J782" s="41" t="str">
        <f aca="false">IF($A782="","",IFERROR(INDEX(Products!$D$2:$D$50,MATCH($E782,Products!$A$2:$A$50,0)),0))</f>
        <v/>
      </c>
      <c r="K782" s="41" t="str">
        <f aca="false">IF($A782="","",$F782*$I782*(1-$G782))</f>
        <v/>
      </c>
      <c r="L782" s="41" t="str">
        <f aca="false">IF($A782="","",$F782*$J782)</f>
        <v/>
      </c>
      <c r="M782" s="41" t="str">
        <f aca="false">IF($A782="","",$K782-$L782)</f>
        <v/>
      </c>
    </row>
    <row r="783" customFormat="false" ht="15" hidden="false" customHeight="false" outlineLevel="0" collapsed="false">
      <c r="H783" s="8" t="str">
        <f aca="false">IF($A783="","",IFERROR(INDEX(Products!$B$2:$B$50,MATCH($E783,Products!$A$2:$A$50,0)),"Unmapped"))</f>
        <v/>
      </c>
      <c r="I783" s="41" t="str">
        <f aca="false">IF($A783="","",IFERROR(INDEX(Products!$C$2:$C$50,MATCH($E783,Products!$A$2:$A$50,0)),0))</f>
        <v/>
      </c>
      <c r="J783" s="41" t="str">
        <f aca="false">IF($A783="","",IFERROR(INDEX(Products!$D$2:$D$50,MATCH($E783,Products!$A$2:$A$50,0)),0))</f>
        <v/>
      </c>
      <c r="K783" s="41" t="str">
        <f aca="false">IF($A783="","",$F783*$I783*(1-$G783))</f>
        <v/>
      </c>
      <c r="L783" s="41" t="str">
        <f aca="false">IF($A783="","",$F783*$J783)</f>
        <v/>
      </c>
      <c r="M783" s="41" t="str">
        <f aca="false">IF($A783="","",$K783-$L783)</f>
        <v/>
      </c>
    </row>
    <row r="784" customFormat="false" ht="15" hidden="false" customHeight="false" outlineLevel="0" collapsed="false">
      <c r="H784" s="8" t="str">
        <f aca="false">IF($A784="","",IFERROR(INDEX(Products!$B$2:$B$50,MATCH($E784,Products!$A$2:$A$50,0)),"Unmapped"))</f>
        <v/>
      </c>
      <c r="I784" s="41" t="str">
        <f aca="false">IF($A784="","",IFERROR(INDEX(Products!$C$2:$C$50,MATCH($E784,Products!$A$2:$A$50,0)),0))</f>
        <v/>
      </c>
      <c r="J784" s="41" t="str">
        <f aca="false">IF($A784="","",IFERROR(INDEX(Products!$D$2:$D$50,MATCH($E784,Products!$A$2:$A$50,0)),0))</f>
        <v/>
      </c>
      <c r="K784" s="41" t="str">
        <f aca="false">IF($A784="","",$F784*$I784*(1-$G784))</f>
        <v/>
      </c>
      <c r="L784" s="41" t="str">
        <f aca="false">IF($A784="","",$F784*$J784)</f>
        <v/>
      </c>
      <c r="M784" s="41" t="str">
        <f aca="false">IF($A784="","",$K784-$L784)</f>
        <v/>
      </c>
    </row>
    <row r="785" customFormat="false" ht="15" hidden="false" customHeight="false" outlineLevel="0" collapsed="false">
      <c r="H785" s="8" t="str">
        <f aca="false">IF($A785="","",IFERROR(INDEX(Products!$B$2:$B$50,MATCH($E785,Products!$A$2:$A$50,0)),"Unmapped"))</f>
        <v/>
      </c>
      <c r="I785" s="41" t="str">
        <f aca="false">IF($A785="","",IFERROR(INDEX(Products!$C$2:$C$50,MATCH($E785,Products!$A$2:$A$50,0)),0))</f>
        <v/>
      </c>
      <c r="J785" s="41" t="str">
        <f aca="false">IF($A785="","",IFERROR(INDEX(Products!$D$2:$D$50,MATCH($E785,Products!$A$2:$A$50,0)),0))</f>
        <v/>
      </c>
      <c r="K785" s="41" t="str">
        <f aca="false">IF($A785="","",$F785*$I785*(1-$G785))</f>
        <v/>
      </c>
      <c r="L785" s="41" t="str">
        <f aca="false">IF($A785="","",$F785*$J785)</f>
        <v/>
      </c>
      <c r="M785" s="41" t="str">
        <f aca="false">IF($A785="","",$K785-$L785)</f>
        <v/>
      </c>
    </row>
    <row r="786" customFormat="false" ht="15" hidden="false" customHeight="false" outlineLevel="0" collapsed="false">
      <c r="H786" s="8" t="str">
        <f aca="false">IF($A786="","",IFERROR(INDEX(Products!$B$2:$B$50,MATCH($E786,Products!$A$2:$A$50,0)),"Unmapped"))</f>
        <v/>
      </c>
      <c r="I786" s="41" t="str">
        <f aca="false">IF($A786="","",IFERROR(INDEX(Products!$C$2:$C$50,MATCH($E786,Products!$A$2:$A$50,0)),0))</f>
        <v/>
      </c>
      <c r="J786" s="41" t="str">
        <f aca="false">IF($A786="","",IFERROR(INDEX(Products!$D$2:$D$50,MATCH($E786,Products!$A$2:$A$50,0)),0))</f>
        <v/>
      </c>
      <c r="K786" s="41" t="str">
        <f aca="false">IF($A786="","",$F786*$I786*(1-$G786))</f>
        <v/>
      </c>
      <c r="L786" s="41" t="str">
        <f aca="false">IF($A786="","",$F786*$J786)</f>
        <v/>
      </c>
      <c r="M786" s="41" t="str">
        <f aca="false">IF($A786="","",$K786-$L786)</f>
        <v/>
      </c>
    </row>
    <row r="787" customFormat="false" ht="15" hidden="false" customHeight="false" outlineLevel="0" collapsed="false">
      <c r="H787" s="8" t="str">
        <f aca="false">IF($A787="","",IFERROR(INDEX(Products!$B$2:$B$50,MATCH($E787,Products!$A$2:$A$50,0)),"Unmapped"))</f>
        <v/>
      </c>
      <c r="I787" s="41" t="str">
        <f aca="false">IF($A787="","",IFERROR(INDEX(Products!$C$2:$C$50,MATCH($E787,Products!$A$2:$A$50,0)),0))</f>
        <v/>
      </c>
      <c r="J787" s="41" t="str">
        <f aca="false">IF($A787="","",IFERROR(INDEX(Products!$D$2:$D$50,MATCH($E787,Products!$A$2:$A$50,0)),0))</f>
        <v/>
      </c>
      <c r="K787" s="41" t="str">
        <f aca="false">IF($A787="","",$F787*$I787*(1-$G787))</f>
        <v/>
      </c>
      <c r="L787" s="41" t="str">
        <f aca="false">IF($A787="","",$F787*$J787)</f>
        <v/>
      </c>
      <c r="M787" s="41" t="str">
        <f aca="false">IF($A787="","",$K787-$L787)</f>
        <v/>
      </c>
    </row>
    <row r="788" customFormat="false" ht="15" hidden="false" customHeight="false" outlineLevel="0" collapsed="false">
      <c r="H788" s="8" t="str">
        <f aca="false">IF($A788="","",IFERROR(INDEX(Products!$B$2:$B$50,MATCH($E788,Products!$A$2:$A$50,0)),"Unmapped"))</f>
        <v/>
      </c>
      <c r="I788" s="41" t="str">
        <f aca="false">IF($A788="","",IFERROR(INDEX(Products!$C$2:$C$50,MATCH($E788,Products!$A$2:$A$50,0)),0))</f>
        <v/>
      </c>
      <c r="J788" s="41" t="str">
        <f aca="false">IF($A788="","",IFERROR(INDEX(Products!$D$2:$D$50,MATCH($E788,Products!$A$2:$A$50,0)),0))</f>
        <v/>
      </c>
      <c r="K788" s="41" t="str">
        <f aca="false">IF($A788="","",$F788*$I788*(1-$G788))</f>
        <v/>
      </c>
      <c r="L788" s="41" t="str">
        <f aca="false">IF($A788="","",$F788*$J788)</f>
        <v/>
      </c>
      <c r="M788" s="41" t="str">
        <f aca="false">IF($A788="","",$K788-$L788)</f>
        <v/>
      </c>
    </row>
    <row r="789" customFormat="false" ht="15" hidden="false" customHeight="false" outlineLevel="0" collapsed="false">
      <c r="H789" s="8" t="str">
        <f aca="false">IF($A789="","",IFERROR(INDEX(Products!$B$2:$B$50,MATCH($E789,Products!$A$2:$A$50,0)),"Unmapped"))</f>
        <v/>
      </c>
      <c r="I789" s="41" t="str">
        <f aca="false">IF($A789="","",IFERROR(INDEX(Products!$C$2:$C$50,MATCH($E789,Products!$A$2:$A$50,0)),0))</f>
        <v/>
      </c>
      <c r="J789" s="41" t="str">
        <f aca="false">IF($A789="","",IFERROR(INDEX(Products!$D$2:$D$50,MATCH($E789,Products!$A$2:$A$50,0)),0))</f>
        <v/>
      </c>
      <c r="K789" s="41" t="str">
        <f aca="false">IF($A789="","",$F789*$I789*(1-$G789))</f>
        <v/>
      </c>
      <c r="L789" s="41" t="str">
        <f aca="false">IF($A789="","",$F789*$J789)</f>
        <v/>
      </c>
      <c r="M789" s="41" t="str">
        <f aca="false">IF($A789="","",$K789-$L789)</f>
        <v/>
      </c>
    </row>
    <row r="790" customFormat="false" ht="15" hidden="false" customHeight="false" outlineLevel="0" collapsed="false">
      <c r="H790" s="8" t="str">
        <f aca="false">IF($A790="","",IFERROR(INDEX(Products!$B$2:$B$50,MATCH($E790,Products!$A$2:$A$50,0)),"Unmapped"))</f>
        <v/>
      </c>
      <c r="I790" s="41" t="str">
        <f aca="false">IF($A790="","",IFERROR(INDEX(Products!$C$2:$C$50,MATCH($E790,Products!$A$2:$A$50,0)),0))</f>
        <v/>
      </c>
      <c r="J790" s="41" t="str">
        <f aca="false">IF($A790="","",IFERROR(INDEX(Products!$D$2:$D$50,MATCH($E790,Products!$A$2:$A$50,0)),0))</f>
        <v/>
      </c>
      <c r="K790" s="41" t="str">
        <f aca="false">IF($A790="","",$F790*$I790*(1-$G790))</f>
        <v/>
      </c>
      <c r="L790" s="41" t="str">
        <f aca="false">IF($A790="","",$F790*$J790)</f>
        <v/>
      </c>
      <c r="M790" s="41" t="str">
        <f aca="false">IF($A790="","",$K790-$L790)</f>
        <v/>
      </c>
    </row>
    <row r="791" customFormat="false" ht="15" hidden="false" customHeight="false" outlineLevel="0" collapsed="false">
      <c r="H791" s="8" t="str">
        <f aca="false">IF($A791="","",IFERROR(INDEX(Products!$B$2:$B$50,MATCH($E791,Products!$A$2:$A$50,0)),"Unmapped"))</f>
        <v/>
      </c>
      <c r="I791" s="41" t="str">
        <f aca="false">IF($A791="","",IFERROR(INDEX(Products!$C$2:$C$50,MATCH($E791,Products!$A$2:$A$50,0)),0))</f>
        <v/>
      </c>
      <c r="J791" s="41" t="str">
        <f aca="false">IF($A791="","",IFERROR(INDEX(Products!$D$2:$D$50,MATCH($E791,Products!$A$2:$A$50,0)),0))</f>
        <v/>
      </c>
      <c r="K791" s="41" t="str">
        <f aca="false">IF($A791="","",$F791*$I791*(1-$G791))</f>
        <v/>
      </c>
      <c r="L791" s="41" t="str">
        <f aca="false">IF($A791="","",$F791*$J791)</f>
        <v/>
      </c>
      <c r="M791" s="41" t="str">
        <f aca="false">IF($A791="","",$K791-$L791)</f>
        <v/>
      </c>
    </row>
    <row r="792" customFormat="false" ht="15" hidden="false" customHeight="false" outlineLevel="0" collapsed="false">
      <c r="H792" s="8" t="str">
        <f aca="false">IF($A792="","",IFERROR(INDEX(Products!$B$2:$B$50,MATCH($E792,Products!$A$2:$A$50,0)),"Unmapped"))</f>
        <v/>
      </c>
      <c r="I792" s="41" t="str">
        <f aca="false">IF($A792="","",IFERROR(INDEX(Products!$C$2:$C$50,MATCH($E792,Products!$A$2:$A$50,0)),0))</f>
        <v/>
      </c>
      <c r="J792" s="41" t="str">
        <f aca="false">IF($A792="","",IFERROR(INDEX(Products!$D$2:$D$50,MATCH($E792,Products!$A$2:$A$50,0)),0))</f>
        <v/>
      </c>
      <c r="K792" s="41" t="str">
        <f aca="false">IF($A792="","",$F792*$I792*(1-$G792))</f>
        <v/>
      </c>
      <c r="L792" s="41" t="str">
        <f aca="false">IF($A792="","",$F792*$J792)</f>
        <v/>
      </c>
      <c r="M792" s="41" t="str">
        <f aca="false">IF($A792="","",$K792-$L792)</f>
        <v/>
      </c>
    </row>
    <row r="793" customFormat="false" ht="15" hidden="false" customHeight="false" outlineLevel="0" collapsed="false">
      <c r="H793" s="8" t="str">
        <f aca="false">IF($A793="","",IFERROR(INDEX(Products!$B$2:$B$50,MATCH($E793,Products!$A$2:$A$50,0)),"Unmapped"))</f>
        <v/>
      </c>
      <c r="I793" s="41" t="str">
        <f aca="false">IF($A793="","",IFERROR(INDEX(Products!$C$2:$C$50,MATCH($E793,Products!$A$2:$A$50,0)),0))</f>
        <v/>
      </c>
      <c r="J793" s="41" t="str">
        <f aca="false">IF($A793="","",IFERROR(INDEX(Products!$D$2:$D$50,MATCH($E793,Products!$A$2:$A$50,0)),0))</f>
        <v/>
      </c>
      <c r="K793" s="41" t="str">
        <f aca="false">IF($A793="","",$F793*$I793*(1-$G793))</f>
        <v/>
      </c>
      <c r="L793" s="41" t="str">
        <f aca="false">IF($A793="","",$F793*$J793)</f>
        <v/>
      </c>
      <c r="M793" s="41" t="str">
        <f aca="false">IF($A793="","",$K793-$L793)</f>
        <v/>
      </c>
    </row>
    <row r="794" customFormat="false" ht="15" hidden="false" customHeight="false" outlineLevel="0" collapsed="false">
      <c r="H794" s="8" t="str">
        <f aca="false">IF($A794="","",IFERROR(INDEX(Products!$B$2:$B$50,MATCH($E794,Products!$A$2:$A$50,0)),"Unmapped"))</f>
        <v/>
      </c>
      <c r="I794" s="41" t="str">
        <f aca="false">IF($A794="","",IFERROR(INDEX(Products!$C$2:$C$50,MATCH($E794,Products!$A$2:$A$50,0)),0))</f>
        <v/>
      </c>
      <c r="J794" s="41" t="str">
        <f aca="false">IF($A794="","",IFERROR(INDEX(Products!$D$2:$D$50,MATCH($E794,Products!$A$2:$A$50,0)),0))</f>
        <v/>
      </c>
      <c r="K794" s="41" t="str">
        <f aca="false">IF($A794="","",$F794*$I794*(1-$G794))</f>
        <v/>
      </c>
      <c r="L794" s="41" t="str">
        <f aca="false">IF($A794="","",$F794*$J794)</f>
        <v/>
      </c>
      <c r="M794" s="41" t="str">
        <f aca="false">IF($A794="","",$K794-$L794)</f>
        <v/>
      </c>
    </row>
    <row r="795" customFormat="false" ht="15" hidden="false" customHeight="false" outlineLevel="0" collapsed="false">
      <c r="H795" s="8" t="str">
        <f aca="false">IF($A795="","",IFERROR(INDEX(Products!$B$2:$B$50,MATCH($E795,Products!$A$2:$A$50,0)),"Unmapped"))</f>
        <v/>
      </c>
      <c r="I795" s="41" t="str">
        <f aca="false">IF($A795="","",IFERROR(INDEX(Products!$C$2:$C$50,MATCH($E795,Products!$A$2:$A$50,0)),0))</f>
        <v/>
      </c>
      <c r="J795" s="41" t="str">
        <f aca="false">IF($A795="","",IFERROR(INDEX(Products!$D$2:$D$50,MATCH($E795,Products!$A$2:$A$50,0)),0))</f>
        <v/>
      </c>
      <c r="K795" s="41" t="str">
        <f aca="false">IF($A795="","",$F795*$I795*(1-$G795))</f>
        <v/>
      </c>
      <c r="L795" s="41" t="str">
        <f aca="false">IF($A795="","",$F795*$J795)</f>
        <v/>
      </c>
      <c r="M795" s="41" t="str">
        <f aca="false">IF($A795="","",$K795-$L795)</f>
        <v/>
      </c>
    </row>
    <row r="796" customFormat="false" ht="15" hidden="false" customHeight="false" outlineLevel="0" collapsed="false">
      <c r="H796" s="8" t="str">
        <f aca="false">IF($A796="","",IFERROR(INDEX(Products!$B$2:$B$50,MATCH($E796,Products!$A$2:$A$50,0)),"Unmapped"))</f>
        <v/>
      </c>
      <c r="I796" s="41" t="str">
        <f aca="false">IF($A796="","",IFERROR(INDEX(Products!$C$2:$C$50,MATCH($E796,Products!$A$2:$A$50,0)),0))</f>
        <v/>
      </c>
      <c r="J796" s="41" t="str">
        <f aca="false">IF($A796="","",IFERROR(INDEX(Products!$D$2:$D$50,MATCH($E796,Products!$A$2:$A$50,0)),0))</f>
        <v/>
      </c>
      <c r="K796" s="41" t="str">
        <f aca="false">IF($A796="","",$F796*$I796*(1-$G796))</f>
        <v/>
      </c>
      <c r="L796" s="41" t="str">
        <f aca="false">IF($A796="","",$F796*$J796)</f>
        <v/>
      </c>
      <c r="M796" s="41" t="str">
        <f aca="false">IF($A796="","",$K796-$L796)</f>
        <v/>
      </c>
    </row>
    <row r="797" customFormat="false" ht="15" hidden="false" customHeight="false" outlineLevel="0" collapsed="false">
      <c r="H797" s="8" t="str">
        <f aca="false">IF($A797="","",IFERROR(INDEX(Products!$B$2:$B$50,MATCH($E797,Products!$A$2:$A$50,0)),"Unmapped"))</f>
        <v/>
      </c>
      <c r="I797" s="41" t="str">
        <f aca="false">IF($A797="","",IFERROR(INDEX(Products!$C$2:$C$50,MATCH($E797,Products!$A$2:$A$50,0)),0))</f>
        <v/>
      </c>
      <c r="J797" s="41" t="str">
        <f aca="false">IF($A797="","",IFERROR(INDEX(Products!$D$2:$D$50,MATCH($E797,Products!$A$2:$A$50,0)),0))</f>
        <v/>
      </c>
      <c r="K797" s="41" t="str">
        <f aca="false">IF($A797="","",$F797*$I797*(1-$G797))</f>
        <v/>
      </c>
      <c r="L797" s="41" t="str">
        <f aca="false">IF($A797="","",$F797*$J797)</f>
        <v/>
      </c>
      <c r="M797" s="41" t="str">
        <f aca="false">IF($A797="","",$K797-$L797)</f>
        <v/>
      </c>
    </row>
    <row r="798" customFormat="false" ht="15" hidden="false" customHeight="false" outlineLevel="0" collapsed="false">
      <c r="H798" s="8" t="str">
        <f aca="false">IF($A798="","",IFERROR(INDEX(Products!$B$2:$B$50,MATCH($E798,Products!$A$2:$A$50,0)),"Unmapped"))</f>
        <v/>
      </c>
      <c r="I798" s="41" t="str">
        <f aca="false">IF($A798="","",IFERROR(INDEX(Products!$C$2:$C$50,MATCH($E798,Products!$A$2:$A$50,0)),0))</f>
        <v/>
      </c>
      <c r="J798" s="41" t="str">
        <f aca="false">IF($A798="","",IFERROR(INDEX(Products!$D$2:$D$50,MATCH($E798,Products!$A$2:$A$50,0)),0))</f>
        <v/>
      </c>
      <c r="K798" s="41" t="str">
        <f aca="false">IF($A798="","",$F798*$I798*(1-$G798))</f>
        <v/>
      </c>
      <c r="L798" s="41" t="str">
        <f aca="false">IF($A798="","",$F798*$J798)</f>
        <v/>
      </c>
      <c r="M798" s="41" t="str">
        <f aca="false">IF($A798="","",$K798-$L798)</f>
        <v/>
      </c>
    </row>
    <row r="799" customFormat="false" ht="15" hidden="false" customHeight="false" outlineLevel="0" collapsed="false">
      <c r="H799" s="8" t="str">
        <f aca="false">IF($A799="","",IFERROR(INDEX(Products!$B$2:$B$50,MATCH($E799,Products!$A$2:$A$50,0)),"Unmapped"))</f>
        <v/>
      </c>
      <c r="I799" s="41" t="str">
        <f aca="false">IF($A799="","",IFERROR(INDEX(Products!$C$2:$C$50,MATCH($E799,Products!$A$2:$A$50,0)),0))</f>
        <v/>
      </c>
      <c r="J799" s="41" t="str">
        <f aca="false">IF($A799="","",IFERROR(INDEX(Products!$D$2:$D$50,MATCH($E799,Products!$A$2:$A$50,0)),0))</f>
        <v/>
      </c>
      <c r="K799" s="41" t="str">
        <f aca="false">IF($A799="","",$F799*$I799*(1-$G799))</f>
        <v/>
      </c>
      <c r="L799" s="41" t="str">
        <f aca="false">IF($A799="","",$F799*$J799)</f>
        <v/>
      </c>
      <c r="M799" s="41" t="str">
        <f aca="false">IF($A799="","",$K799-$L799)</f>
        <v/>
      </c>
    </row>
    <row r="800" customFormat="false" ht="15" hidden="false" customHeight="false" outlineLevel="0" collapsed="false">
      <c r="H800" s="8" t="str">
        <f aca="false">IF($A800="","",IFERROR(INDEX(Products!$B$2:$B$50,MATCH($E800,Products!$A$2:$A$50,0)),"Unmapped"))</f>
        <v/>
      </c>
      <c r="I800" s="41" t="str">
        <f aca="false">IF($A800="","",IFERROR(INDEX(Products!$C$2:$C$50,MATCH($E800,Products!$A$2:$A$50,0)),0))</f>
        <v/>
      </c>
      <c r="J800" s="41" t="str">
        <f aca="false">IF($A800="","",IFERROR(INDEX(Products!$D$2:$D$50,MATCH($E800,Products!$A$2:$A$50,0)),0))</f>
        <v/>
      </c>
      <c r="K800" s="41" t="str">
        <f aca="false">IF($A800="","",$F800*$I800*(1-$G800))</f>
        <v/>
      </c>
      <c r="L800" s="41" t="str">
        <f aca="false">IF($A800="","",$F800*$J800)</f>
        <v/>
      </c>
      <c r="M800" s="41" t="str">
        <f aca="false">IF($A800="","",$K800-$L800)</f>
        <v/>
      </c>
    </row>
    <row r="801" customFormat="false" ht="15" hidden="false" customHeight="false" outlineLevel="0" collapsed="false">
      <c r="H801" s="8" t="str">
        <f aca="false">IF($A801="","",IFERROR(INDEX(Products!$B$2:$B$50,MATCH($E801,Products!$A$2:$A$50,0)),"Unmapped"))</f>
        <v/>
      </c>
      <c r="I801" s="41" t="str">
        <f aca="false">IF($A801="","",IFERROR(INDEX(Products!$C$2:$C$50,MATCH($E801,Products!$A$2:$A$50,0)),0))</f>
        <v/>
      </c>
      <c r="J801" s="41" t="str">
        <f aca="false">IF($A801="","",IFERROR(INDEX(Products!$D$2:$D$50,MATCH($E801,Products!$A$2:$A$50,0)),0))</f>
        <v/>
      </c>
      <c r="K801" s="41" t="str">
        <f aca="false">IF($A801="","",$F801*$I801*(1-$G801))</f>
        <v/>
      </c>
      <c r="L801" s="41" t="str">
        <f aca="false">IF($A801="","",$F801*$J801)</f>
        <v/>
      </c>
      <c r="M801" s="41" t="str">
        <f aca="false">IF($A801="","",$K801-$L801)</f>
        <v/>
      </c>
    </row>
    <row r="802" customFormat="false" ht="15" hidden="false" customHeight="false" outlineLevel="0" collapsed="false">
      <c r="H802" s="8" t="str">
        <f aca="false">IF($A802="","",IFERROR(INDEX(Products!$B$2:$B$50,MATCH($E802,Products!$A$2:$A$50,0)),"Unmapped"))</f>
        <v/>
      </c>
      <c r="I802" s="41" t="str">
        <f aca="false">IF($A802="","",IFERROR(INDEX(Products!$C$2:$C$50,MATCH($E802,Products!$A$2:$A$50,0)),0))</f>
        <v/>
      </c>
      <c r="J802" s="41" t="str">
        <f aca="false">IF($A802="","",IFERROR(INDEX(Products!$D$2:$D$50,MATCH($E802,Products!$A$2:$A$50,0)),0))</f>
        <v/>
      </c>
      <c r="K802" s="41" t="str">
        <f aca="false">IF($A802="","",$F802*$I802*(1-$G802))</f>
        <v/>
      </c>
      <c r="L802" s="41" t="str">
        <f aca="false">IF($A802="","",$F802*$J802)</f>
        <v/>
      </c>
      <c r="M802" s="41" t="str">
        <f aca="false">IF($A802="","",$K802-$L802)</f>
        <v/>
      </c>
    </row>
    <row r="803" customFormat="false" ht="15" hidden="false" customHeight="false" outlineLevel="0" collapsed="false">
      <c r="H803" s="8" t="str">
        <f aca="false">IF($A803="","",IFERROR(INDEX(Products!$B$2:$B$50,MATCH($E803,Products!$A$2:$A$50,0)),"Unmapped"))</f>
        <v/>
      </c>
      <c r="I803" s="41" t="str">
        <f aca="false">IF($A803="","",IFERROR(INDEX(Products!$C$2:$C$50,MATCH($E803,Products!$A$2:$A$50,0)),0))</f>
        <v/>
      </c>
      <c r="J803" s="41" t="str">
        <f aca="false">IF($A803="","",IFERROR(INDEX(Products!$D$2:$D$50,MATCH($E803,Products!$A$2:$A$50,0)),0))</f>
        <v/>
      </c>
      <c r="K803" s="41" t="str">
        <f aca="false">IF($A803="","",$F803*$I803*(1-$G803))</f>
        <v/>
      </c>
      <c r="L803" s="41" t="str">
        <f aca="false">IF($A803="","",$F803*$J803)</f>
        <v/>
      </c>
      <c r="M803" s="41" t="str">
        <f aca="false">IF($A803="","",$K803-$L803)</f>
        <v/>
      </c>
    </row>
    <row r="804" customFormat="false" ht="15" hidden="false" customHeight="false" outlineLevel="0" collapsed="false">
      <c r="H804" s="8" t="str">
        <f aca="false">IF($A804="","",IFERROR(INDEX(Products!$B$2:$B$50,MATCH($E804,Products!$A$2:$A$50,0)),"Unmapped"))</f>
        <v/>
      </c>
      <c r="I804" s="41" t="str">
        <f aca="false">IF($A804="","",IFERROR(INDEX(Products!$C$2:$C$50,MATCH($E804,Products!$A$2:$A$50,0)),0))</f>
        <v/>
      </c>
      <c r="J804" s="41" t="str">
        <f aca="false">IF($A804="","",IFERROR(INDEX(Products!$D$2:$D$50,MATCH($E804,Products!$A$2:$A$50,0)),0))</f>
        <v/>
      </c>
      <c r="K804" s="41" t="str">
        <f aca="false">IF($A804="","",$F804*$I804*(1-$G804))</f>
        <v/>
      </c>
      <c r="L804" s="41" t="str">
        <f aca="false">IF($A804="","",$F804*$J804)</f>
        <v/>
      </c>
      <c r="M804" s="41" t="str">
        <f aca="false">IF($A804="","",$K804-$L804)</f>
        <v/>
      </c>
    </row>
    <row r="805" customFormat="false" ht="15" hidden="false" customHeight="false" outlineLevel="0" collapsed="false">
      <c r="H805" s="8" t="str">
        <f aca="false">IF($A805="","",IFERROR(INDEX(Products!$B$2:$B$50,MATCH($E805,Products!$A$2:$A$50,0)),"Unmapped"))</f>
        <v/>
      </c>
      <c r="I805" s="41" t="str">
        <f aca="false">IF($A805="","",IFERROR(INDEX(Products!$C$2:$C$50,MATCH($E805,Products!$A$2:$A$50,0)),0))</f>
        <v/>
      </c>
      <c r="J805" s="41" t="str">
        <f aca="false">IF($A805="","",IFERROR(INDEX(Products!$D$2:$D$50,MATCH($E805,Products!$A$2:$A$50,0)),0))</f>
        <v/>
      </c>
      <c r="K805" s="41" t="str">
        <f aca="false">IF($A805="","",$F805*$I805*(1-$G805))</f>
        <v/>
      </c>
      <c r="L805" s="41" t="str">
        <f aca="false">IF($A805="","",$F805*$J805)</f>
        <v/>
      </c>
      <c r="M805" s="41" t="str">
        <f aca="false">IF($A805="","",$K805-$L805)</f>
        <v/>
      </c>
    </row>
    <row r="806" customFormat="false" ht="15" hidden="false" customHeight="false" outlineLevel="0" collapsed="false">
      <c r="H806" s="8" t="str">
        <f aca="false">IF($A806="","",IFERROR(INDEX(Products!$B$2:$B$50,MATCH($E806,Products!$A$2:$A$50,0)),"Unmapped"))</f>
        <v/>
      </c>
      <c r="I806" s="41" t="str">
        <f aca="false">IF($A806="","",IFERROR(INDEX(Products!$C$2:$C$50,MATCH($E806,Products!$A$2:$A$50,0)),0))</f>
        <v/>
      </c>
      <c r="J806" s="41" t="str">
        <f aca="false">IF($A806="","",IFERROR(INDEX(Products!$D$2:$D$50,MATCH($E806,Products!$A$2:$A$50,0)),0))</f>
        <v/>
      </c>
      <c r="K806" s="41" t="str">
        <f aca="false">IF($A806="","",$F806*$I806*(1-$G806))</f>
        <v/>
      </c>
      <c r="L806" s="41" t="str">
        <f aca="false">IF($A806="","",$F806*$J806)</f>
        <v/>
      </c>
      <c r="M806" s="41" t="str">
        <f aca="false">IF($A806="","",$K806-$L806)</f>
        <v/>
      </c>
    </row>
    <row r="807" customFormat="false" ht="15" hidden="false" customHeight="false" outlineLevel="0" collapsed="false">
      <c r="H807" s="8" t="str">
        <f aca="false">IF($A807="","",IFERROR(INDEX(Products!$B$2:$B$50,MATCH($E807,Products!$A$2:$A$50,0)),"Unmapped"))</f>
        <v/>
      </c>
      <c r="I807" s="41" t="str">
        <f aca="false">IF($A807="","",IFERROR(INDEX(Products!$C$2:$C$50,MATCH($E807,Products!$A$2:$A$50,0)),0))</f>
        <v/>
      </c>
      <c r="J807" s="41" t="str">
        <f aca="false">IF($A807="","",IFERROR(INDEX(Products!$D$2:$D$50,MATCH($E807,Products!$A$2:$A$50,0)),0))</f>
        <v/>
      </c>
      <c r="K807" s="41" t="str">
        <f aca="false">IF($A807="","",$F807*$I807*(1-$G807))</f>
        <v/>
      </c>
      <c r="L807" s="41" t="str">
        <f aca="false">IF($A807="","",$F807*$J807)</f>
        <v/>
      </c>
      <c r="M807" s="41" t="str">
        <f aca="false">IF($A807="","",$K807-$L807)</f>
        <v/>
      </c>
    </row>
    <row r="808" customFormat="false" ht="15" hidden="false" customHeight="false" outlineLevel="0" collapsed="false">
      <c r="H808" s="8" t="str">
        <f aca="false">IF($A808="","",IFERROR(INDEX(Products!$B$2:$B$50,MATCH($E808,Products!$A$2:$A$50,0)),"Unmapped"))</f>
        <v/>
      </c>
      <c r="I808" s="41" t="str">
        <f aca="false">IF($A808="","",IFERROR(INDEX(Products!$C$2:$C$50,MATCH($E808,Products!$A$2:$A$50,0)),0))</f>
        <v/>
      </c>
      <c r="J808" s="41" t="str">
        <f aca="false">IF($A808="","",IFERROR(INDEX(Products!$D$2:$D$50,MATCH($E808,Products!$A$2:$A$50,0)),0))</f>
        <v/>
      </c>
      <c r="K808" s="41" t="str">
        <f aca="false">IF($A808="","",$F808*$I808*(1-$G808))</f>
        <v/>
      </c>
      <c r="L808" s="41" t="str">
        <f aca="false">IF($A808="","",$F808*$J808)</f>
        <v/>
      </c>
      <c r="M808" s="41" t="str">
        <f aca="false">IF($A808="","",$K808-$L808)</f>
        <v/>
      </c>
    </row>
    <row r="809" customFormat="false" ht="15" hidden="false" customHeight="false" outlineLevel="0" collapsed="false">
      <c r="H809" s="8" t="str">
        <f aca="false">IF($A809="","",IFERROR(INDEX(Products!$B$2:$B$50,MATCH($E809,Products!$A$2:$A$50,0)),"Unmapped"))</f>
        <v/>
      </c>
      <c r="I809" s="41" t="str">
        <f aca="false">IF($A809="","",IFERROR(INDEX(Products!$C$2:$C$50,MATCH($E809,Products!$A$2:$A$50,0)),0))</f>
        <v/>
      </c>
      <c r="J809" s="41" t="str">
        <f aca="false">IF($A809="","",IFERROR(INDEX(Products!$D$2:$D$50,MATCH($E809,Products!$A$2:$A$50,0)),0))</f>
        <v/>
      </c>
      <c r="K809" s="41" t="str">
        <f aca="false">IF($A809="","",$F809*$I809*(1-$G809))</f>
        <v/>
      </c>
      <c r="L809" s="41" t="str">
        <f aca="false">IF($A809="","",$F809*$J809)</f>
        <v/>
      </c>
      <c r="M809" s="41" t="str">
        <f aca="false">IF($A809="","",$K809-$L809)</f>
        <v/>
      </c>
    </row>
    <row r="810" customFormat="false" ht="15" hidden="false" customHeight="false" outlineLevel="0" collapsed="false">
      <c r="H810" s="8" t="str">
        <f aca="false">IF($A810="","",IFERROR(INDEX(Products!$B$2:$B$50,MATCH($E810,Products!$A$2:$A$50,0)),"Unmapped"))</f>
        <v/>
      </c>
      <c r="I810" s="41" t="str">
        <f aca="false">IF($A810="","",IFERROR(INDEX(Products!$C$2:$C$50,MATCH($E810,Products!$A$2:$A$50,0)),0))</f>
        <v/>
      </c>
      <c r="J810" s="41" t="str">
        <f aca="false">IF($A810="","",IFERROR(INDEX(Products!$D$2:$D$50,MATCH($E810,Products!$A$2:$A$50,0)),0))</f>
        <v/>
      </c>
      <c r="K810" s="41" t="str">
        <f aca="false">IF($A810="","",$F810*$I810*(1-$G810))</f>
        <v/>
      </c>
      <c r="L810" s="41" t="str">
        <f aca="false">IF($A810="","",$F810*$J810)</f>
        <v/>
      </c>
      <c r="M810" s="41" t="str">
        <f aca="false">IF($A810="","",$K810-$L810)</f>
        <v/>
      </c>
    </row>
    <row r="811" customFormat="false" ht="15" hidden="false" customHeight="false" outlineLevel="0" collapsed="false">
      <c r="H811" s="8" t="str">
        <f aca="false">IF($A811="","",IFERROR(INDEX(Products!$B$2:$B$50,MATCH($E811,Products!$A$2:$A$50,0)),"Unmapped"))</f>
        <v/>
      </c>
      <c r="I811" s="41" t="str">
        <f aca="false">IF($A811="","",IFERROR(INDEX(Products!$C$2:$C$50,MATCH($E811,Products!$A$2:$A$50,0)),0))</f>
        <v/>
      </c>
      <c r="J811" s="41" t="str">
        <f aca="false">IF($A811="","",IFERROR(INDEX(Products!$D$2:$D$50,MATCH($E811,Products!$A$2:$A$50,0)),0))</f>
        <v/>
      </c>
      <c r="K811" s="41" t="str">
        <f aca="false">IF($A811="","",$F811*$I811*(1-$G811))</f>
        <v/>
      </c>
      <c r="L811" s="41" t="str">
        <f aca="false">IF($A811="","",$F811*$J811)</f>
        <v/>
      </c>
      <c r="M811" s="41" t="str">
        <f aca="false">IF($A811="","",$K811-$L811)</f>
        <v/>
      </c>
    </row>
    <row r="812" customFormat="false" ht="15" hidden="false" customHeight="false" outlineLevel="0" collapsed="false">
      <c r="H812" s="8" t="str">
        <f aca="false">IF($A812="","",IFERROR(INDEX(Products!$B$2:$B$50,MATCH($E812,Products!$A$2:$A$50,0)),"Unmapped"))</f>
        <v/>
      </c>
      <c r="I812" s="41" t="str">
        <f aca="false">IF($A812="","",IFERROR(INDEX(Products!$C$2:$C$50,MATCH($E812,Products!$A$2:$A$50,0)),0))</f>
        <v/>
      </c>
      <c r="J812" s="41" t="str">
        <f aca="false">IF($A812="","",IFERROR(INDEX(Products!$D$2:$D$50,MATCH($E812,Products!$A$2:$A$50,0)),0))</f>
        <v/>
      </c>
      <c r="K812" s="41" t="str">
        <f aca="false">IF($A812="","",$F812*$I812*(1-$G812))</f>
        <v/>
      </c>
      <c r="L812" s="41" t="str">
        <f aca="false">IF($A812="","",$F812*$J812)</f>
        <v/>
      </c>
      <c r="M812" s="41" t="str">
        <f aca="false">IF($A812="","",$K812-$L812)</f>
        <v/>
      </c>
    </row>
    <row r="813" customFormat="false" ht="15" hidden="false" customHeight="false" outlineLevel="0" collapsed="false">
      <c r="H813" s="8" t="str">
        <f aca="false">IF($A813="","",IFERROR(INDEX(Products!$B$2:$B$50,MATCH($E813,Products!$A$2:$A$50,0)),"Unmapped"))</f>
        <v/>
      </c>
      <c r="I813" s="41" t="str">
        <f aca="false">IF($A813="","",IFERROR(INDEX(Products!$C$2:$C$50,MATCH($E813,Products!$A$2:$A$50,0)),0))</f>
        <v/>
      </c>
      <c r="J813" s="41" t="str">
        <f aca="false">IF($A813="","",IFERROR(INDEX(Products!$D$2:$D$50,MATCH($E813,Products!$A$2:$A$50,0)),0))</f>
        <v/>
      </c>
      <c r="K813" s="41" t="str">
        <f aca="false">IF($A813="","",$F813*$I813*(1-$G813))</f>
        <v/>
      </c>
      <c r="L813" s="41" t="str">
        <f aca="false">IF($A813="","",$F813*$J813)</f>
        <v/>
      </c>
      <c r="M813" s="41" t="str">
        <f aca="false">IF($A813="","",$K813-$L813)</f>
        <v/>
      </c>
    </row>
    <row r="814" customFormat="false" ht="15" hidden="false" customHeight="false" outlineLevel="0" collapsed="false">
      <c r="H814" s="8" t="str">
        <f aca="false">IF($A814="","",IFERROR(INDEX(Products!$B$2:$B$50,MATCH($E814,Products!$A$2:$A$50,0)),"Unmapped"))</f>
        <v/>
      </c>
      <c r="I814" s="41" t="str">
        <f aca="false">IF($A814="","",IFERROR(INDEX(Products!$C$2:$C$50,MATCH($E814,Products!$A$2:$A$50,0)),0))</f>
        <v/>
      </c>
      <c r="J814" s="41" t="str">
        <f aca="false">IF($A814="","",IFERROR(INDEX(Products!$D$2:$D$50,MATCH($E814,Products!$A$2:$A$50,0)),0))</f>
        <v/>
      </c>
      <c r="K814" s="41" t="str">
        <f aca="false">IF($A814="","",$F814*$I814*(1-$G814))</f>
        <v/>
      </c>
      <c r="L814" s="41" t="str">
        <f aca="false">IF($A814="","",$F814*$J814)</f>
        <v/>
      </c>
      <c r="M814" s="41" t="str">
        <f aca="false">IF($A814="","",$K814-$L814)</f>
        <v/>
      </c>
    </row>
    <row r="815" customFormat="false" ht="15" hidden="false" customHeight="false" outlineLevel="0" collapsed="false">
      <c r="H815" s="8" t="str">
        <f aca="false">IF($A815="","",IFERROR(INDEX(Products!$B$2:$B$50,MATCH($E815,Products!$A$2:$A$50,0)),"Unmapped"))</f>
        <v/>
      </c>
      <c r="I815" s="41" t="str">
        <f aca="false">IF($A815="","",IFERROR(INDEX(Products!$C$2:$C$50,MATCH($E815,Products!$A$2:$A$50,0)),0))</f>
        <v/>
      </c>
      <c r="J815" s="41" t="str">
        <f aca="false">IF($A815="","",IFERROR(INDEX(Products!$D$2:$D$50,MATCH($E815,Products!$A$2:$A$50,0)),0))</f>
        <v/>
      </c>
      <c r="K815" s="41" t="str">
        <f aca="false">IF($A815="","",$F815*$I815*(1-$G815))</f>
        <v/>
      </c>
      <c r="L815" s="41" t="str">
        <f aca="false">IF($A815="","",$F815*$J815)</f>
        <v/>
      </c>
      <c r="M815" s="41" t="str">
        <f aca="false">IF($A815="","",$K815-$L815)</f>
        <v/>
      </c>
    </row>
    <row r="816" customFormat="false" ht="15" hidden="false" customHeight="false" outlineLevel="0" collapsed="false">
      <c r="H816" s="8" t="str">
        <f aca="false">IF($A816="","",IFERROR(INDEX(Products!$B$2:$B$50,MATCH($E816,Products!$A$2:$A$50,0)),"Unmapped"))</f>
        <v/>
      </c>
      <c r="I816" s="41" t="str">
        <f aca="false">IF($A816="","",IFERROR(INDEX(Products!$C$2:$C$50,MATCH($E816,Products!$A$2:$A$50,0)),0))</f>
        <v/>
      </c>
      <c r="J816" s="41" t="str">
        <f aca="false">IF($A816="","",IFERROR(INDEX(Products!$D$2:$D$50,MATCH($E816,Products!$A$2:$A$50,0)),0))</f>
        <v/>
      </c>
      <c r="K816" s="41" t="str">
        <f aca="false">IF($A816="","",$F816*$I816*(1-$G816))</f>
        <v/>
      </c>
      <c r="L816" s="41" t="str">
        <f aca="false">IF($A816="","",$F816*$J816)</f>
        <v/>
      </c>
      <c r="M816" s="41" t="str">
        <f aca="false">IF($A816="","",$K816-$L816)</f>
        <v/>
      </c>
    </row>
    <row r="817" customFormat="false" ht="15" hidden="false" customHeight="false" outlineLevel="0" collapsed="false">
      <c r="H817" s="8" t="str">
        <f aca="false">IF($A817="","",IFERROR(INDEX(Products!$B$2:$B$50,MATCH($E817,Products!$A$2:$A$50,0)),"Unmapped"))</f>
        <v/>
      </c>
      <c r="I817" s="41" t="str">
        <f aca="false">IF($A817="","",IFERROR(INDEX(Products!$C$2:$C$50,MATCH($E817,Products!$A$2:$A$50,0)),0))</f>
        <v/>
      </c>
      <c r="J817" s="41" t="str">
        <f aca="false">IF($A817="","",IFERROR(INDEX(Products!$D$2:$D$50,MATCH($E817,Products!$A$2:$A$50,0)),0))</f>
        <v/>
      </c>
      <c r="K817" s="41" t="str">
        <f aca="false">IF($A817="","",$F817*$I817*(1-$G817))</f>
        <v/>
      </c>
      <c r="L817" s="41" t="str">
        <f aca="false">IF($A817="","",$F817*$J817)</f>
        <v/>
      </c>
      <c r="M817" s="41" t="str">
        <f aca="false">IF($A817="","",$K817-$L817)</f>
        <v/>
      </c>
    </row>
    <row r="818" customFormat="false" ht="15" hidden="false" customHeight="false" outlineLevel="0" collapsed="false">
      <c r="H818" s="8" t="str">
        <f aca="false">IF($A818="","",IFERROR(INDEX(Products!$B$2:$B$50,MATCH($E818,Products!$A$2:$A$50,0)),"Unmapped"))</f>
        <v/>
      </c>
      <c r="I818" s="41" t="str">
        <f aca="false">IF($A818="","",IFERROR(INDEX(Products!$C$2:$C$50,MATCH($E818,Products!$A$2:$A$50,0)),0))</f>
        <v/>
      </c>
      <c r="J818" s="41" t="str">
        <f aca="false">IF($A818="","",IFERROR(INDEX(Products!$D$2:$D$50,MATCH($E818,Products!$A$2:$A$50,0)),0))</f>
        <v/>
      </c>
      <c r="K818" s="41" t="str">
        <f aca="false">IF($A818="","",$F818*$I818*(1-$G818))</f>
        <v/>
      </c>
      <c r="L818" s="41" t="str">
        <f aca="false">IF($A818="","",$F818*$J818)</f>
        <v/>
      </c>
      <c r="M818" s="41" t="str">
        <f aca="false">IF($A818="","",$K818-$L818)</f>
        <v/>
      </c>
    </row>
    <row r="819" customFormat="false" ht="15" hidden="false" customHeight="false" outlineLevel="0" collapsed="false">
      <c r="H819" s="8" t="str">
        <f aca="false">IF($A819="","",IFERROR(INDEX(Products!$B$2:$B$50,MATCH($E819,Products!$A$2:$A$50,0)),"Unmapped"))</f>
        <v/>
      </c>
      <c r="I819" s="41" t="str">
        <f aca="false">IF($A819="","",IFERROR(INDEX(Products!$C$2:$C$50,MATCH($E819,Products!$A$2:$A$50,0)),0))</f>
        <v/>
      </c>
      <c r="J819" s="41" t="str">
        <f aca="false">IF($A819="","",IFERROR(INDEX(Products!$D$2:$D$50,MATCH($E819,Products!$A$2:$A$50,0)),0))</f>
        <v/>
      </c>
      <c r="K819" s="41" t="str">
        <f aca="false">IF($A819="","",$F819*$I819*(1-$G819))</f>
        <v/>
      </c>
      <c r="L819" s="41" t="str">
        <f aca="false">IF($A819="","",$F819*$J819)</f>
        <v/>
      </c>
      <c r="M819" s="41" t="str">
        <f aca="false">IF($A819="","",$K819-$L819)</f>
        <v/>
      </c>
    </row>
    <row r="820" customFormat="false" ht="15" hidden="false" customHeight="false" outlineLevel="0" collapsed="false">
      <c r="H820" s="8" t="str">
        <f aca="false">IF($A820="","",IFERROR(INDEX(Products!$B$2:$B$50,MATCH($E820,Products!$A$2:$A$50,0)),"Unmapped"))</f>
        <v/>
      </c>
      <c r="I820" s="41" t="str">
        <f aca="false">IF($A820="","",IFERROR(INDEX(Products!$C$2:$C$50,MATCH($E820,Products!$A$2:$A$50,0)),0))</f>
        <v/>
      </c>
      <c r="J820" s="41" t="str">
        <f aca="false">IF($A820="","",IFERROR(INDEX(Products!$D$2:$D$50,MATCH($E820,Products!$A$2:$A$50,0)),0))</f>
        <v/>
      </c>
      <c r="K820" s="41" t="str">
        <f aca="false">IF($A820="","",$F820*$I820*(1-$G820))</f>
        <v/>
      </c>
      <c r="L820" s="41" t="str">
        <f aca="false">IF($A820="","",$F820*$J820)</f>
        <v/>
      </c>
      <c r="M820" s="41" t="str">
        <f aca="false">IF($A820="","",$K820-$L820)</f>
        <v/>
      </c>
    </row>
    <row r="821" customFormat="false" ht="15" hidden="false" customHeight="false" outlineLevel="0" collapsed="false">
      <c r="H821" s="8" t="str">
        <f aca="false">IF($A821="","",IFERROR(INDEX(Products!$B$2:$B$50,MATCH($E821,Products!$A$2:$A$50,0)),"Unmapped"))</f>
        <v/>
      </c>
      <c r="I821" s="41" t="str">
        <f aca="false">IF($A821="","",IFERROR(INDEX(Products!$C$2:$C$50,MATCH($E821,Products!$A$2:$A$50,0)),0))</f>
        <v/>
      </c>
      <c r="J821" s="41" t="str">
        <f aca="false">IF($A821="","",IFERROR(INDEX(Products!$D$2:$D$50,MATCH($E821,Products!$A$2:$A$50,0)),0))</f>
        <v/>
      </c>
      <c r="K821" s="41" t="str">
        <f aca="false">IF($A821="","",$F821*$I821*(1-$G821))</f>
        <v/>
      </c>
      <c r="L821" s="41" t="str">
        <f aca="false">IF($A821="","",$F821*$J821)</f>
        <v/>
      </c>
      <c r="M821" s="41" t="str">
        <f aca="false">IF($A821="","",$K821-$L821)</f>
        <v/>
      </c>
    </row>
    <row r="822" customFormat="false" ht="15" hidden="false" customHeight="false" outlineLevel="0" collapsed="false">
      <c r="H822" s="8" t="str">
        <f aca="false">IF($A822="","",IFERROR(INDEX(Products!$B$2:$B$50,MATCH($E822,Products!$A$2:$A$50,0)),"Unmapped"))</f>
        <v/>
      </c>
      <c r="I822" s="41" t="str">
        <f aca="false">IF($A822="","",IFERROR(INDEX(Products!$C$2:$C$50,MATCH($E822,Products!$A$2:$A$50,0)),0))</f>
        <v/>
      </c>
      <c r="J822" s="41" t="str">
        <f aca="false">IF($A822="","",IFERROR(INDEX(Products!$D$2:$D$50,MATCH($E822,Products!$A$2:$A$50,0)),0))</f>
        <v/>
      </c>
      <c r="K822" s="41" t="str">
        <f aca="false">IF($A822="","",$F822*$I822*(1-$G822))</f>
        <v/>
      </c>
      <c r="L822" s="41" t="str">
        <f aca="false">IF($A822="","",$F822*$J822)</f>
        <v/>
      </c>
      <c r="M822" s="41" t="str">
        <f aca="false">IF($A822="","",$K822-$L822)</f>
        <v/>
      </c>
    </row>
    <row r="823" customFormat="false" ht="15" hidden="false" customHeight="false" outlineLevel="0" collapsed="false">
      <c r="H823" s="8" t="str">
        <f aca="false">IF($A823="","",IFERROR(INDEX(Products!$B$2:$B$50,MATCH($E823,Products!$A$2:$A$50,0)),"Unmapped"))</f>
        <v/>
      </c>
      <c r="I823" s="41" t="str">
        <f aca="false">IF($A823="","",IFERROR(INDEX(Products!$C$2:$C$50,MATCH($E823,Products!$A$2:$A$50,0)),0))</f>
        <v/>
      </c>
      <c r="J823" s="41" t="str">
        <f aca="false">IF($A823="","",IFERROR(INDEX(Products!$D$2:$D$50,MATCH($E823,Products!$A$2:$A$50,0)),0))</f>
        <v/>
      </c>
      <c r="K823" s="41" t="str">
        <f aca="false">IF($A823="","",$F823*$I823*(1-$G823))</f>
        <v/>
      </c>
      <c r="L823" s="41" t="str">
        <f aca="false">IF($A823="","",$F823*$J823)</f>
        <v/>
      </c>
      <c r="M823" s="41" t="str">
        <f aca="false">IF($A823="","",$K823-$L823)</f>
        <v/>
      </c>
    </row>
    <row r="824" customFormat="false" ht="15" hidden="false" customHeight="false" outlineLevel="0" collapsed="false">
      <c r="H824" s="8" t="str">
        <f aca="false">IF($A824="","",IFERROR(INDEX(Products!$B$2:$B$50,MATCH($E824,Products!$A$2:$A$50,0)),"Unmapped"))</f>
        <v/>
      </c>
      <c r="I824" s="41" t="str">
        <f aca="false">IF($A824="","",IFERROR(INDEX(Products!$C$2:$C$50,MATCH($E824,Products!$A$2:$A$50,0)),0))</f>
        <v/>
      </c>
      <c r="J824" s="41" t="str">
        <f aca="false">IF($A824="","",IFERROR(INDEX(Products!$D$2:$D$50,MATCH($E824,Products!$A$2:$A$50,0)),0))</f>
        <v/>
      </c>
      <c r="K824" s="41" t="str">
        <f aca="false">IF($A824="","",$F824*$I824*(1-$G824))</f>
        <v/>
      </c>
      <c r="L824" s="41" t="str">
        <f aca="false">IF($A824="","",$F824*$J824)</f>
        <v/>
      </c>
      <c r="M824" s="41" t="str">
        <f aca="false">IF($A824="","",$K824-$L824)</f>
        <v/>
      </c>
    </row>
    <row r="825" customFormat="false" ht="15" hidden="false" customHeight="false" outlineLevel="0" collapsed="false">
      <c r="H825" s="8" t="str">
        <f aca="false">IF($A825="","",IFERROR(INDEX(Products!$B$2:$B$50,MATCH($E825,Products!$A$2:$A$50,0)),"Unmapped"))</f>
        <v/>
      </c>
      <c r="I825" s="41" t="str">
        <f aca="false">IF($A825="","",IFERROR(INDEX(Products!$C$2:$C$50,MATCH($E825,Products!$A$2:$A$50,0)),0))</f>
        <v/>
      </c>
      <c r="J825" s="41" t="str">
        <f aca="false">IF($A825="","",IFERROR(INDEX(Products!$D$2:$D$50,MATCH($E825,Products!$A$2:$A$50,0)),0))</f>
        <v/>
      </c>
      <c r="K825" s="41" t="str">
        <f aca="false">IF($A825="","",$F825*$I825*(1-$G825))</f>
        <v/>
      </c>
      <c r="L825" s="41" t="str">
        <f aca="false">IF($A825="","",$F825*$J825)</f>
        <v/>
      </c>
      <c r="M825" s="41" t="str">
        <f aca="false">IF($A825="","",$K825-$L825)</f>
        <v/>
      </c>
    </row>
    <row r="826" customFormat="false" ht="15" hidden="false" customHeight="false" outlineLevel="0" collapsed="false">
      <c r="H826" s="8" t="str">
        <f aca="false">IF($A826="","",IFERROR(INDEX(Products!$B$2:$B$50,MATCH($E826,Products!$A$2:$A$50,0)),"Unmapped"))</f>
        <v/>
      </c>
      <c r="I826" s="41" t="str">
        <f aca="false">IF($A826="","",IFERROR(INDEX(Products!$C$2:$C$50,MATCH($E826,Products!$A$2:$A$50,0)),0))</f>
        <v/>
      </c>
      <c r="J826" s="41" t="str">
        <f aca="false">IF($A826="","",IFERROR(INDEX(Products!$D$2:$D$50,MATCH($E826,Products!$A$2:$A$50,0)),0))</f>
        <v/>
      </c>
      <c r="K826" s="41" t="str">
        <f aca="false">IF($A826="","",$F826*$I826*(1-$G826))</f>
        <v/>
      </c>
      <c r="L826" s="41" t="str">
        <f aca="false">IF($A826="","",$F826*$J826)</f>
        <v/>
      </c>
      <c r="M826" s="41" t="str">
        <f aca="false">IF($A826="","",$K826-$L826)</f>
        <v/>
      </c>
    </row>
    <row r="827" customFormat="false" ht="15" hidden="false" customHeight="false" outlineLevel="0" collapsed="false">
      <c r="H827" s="8" t="str">
        <f aca="false">IF($A827="","",IFERROR(INDEX(Products!$B$2:$B$50,MATCH($E827,Products!$A$2:$A$50,0)),"Unmapped"))</f>
        <v/>
      </c>
      <c r="I827" s="41" t="str">
        <f aca="false">IF($A827="","",IFERROR(INDEX(Products!$C$2:$C$50,MATCH($E827,Products!$A$2:$A$50,0)),0))</f>
        <v/>
      </c>
      <c r="J827" s="41" t="str">
        <f aca="false">IF($A827="","",IFERROR(INDEX(Products!$D$2:$D$50,MATCH($E827,Products!$A$2:$A$50,0)),0))</f>
        <v/>
      </c>
      <c r="K827" s="41" t="str">
        <f aca="false">IF($A827="","",$F827*$I827*(1-$G827))</f>
        <v/>
      </c>
      <c r="L827" s="41" t="str">
        <f aca="false">IF($A827="","",$F827*$J827)</f>
        <v/>
      </c>
      <c r="M827" s="41" t="str">
        <f aca="false">IF($A827="","",$K827-$L827)</f>
        <v/>
      </c>
    </row>
    <row r="828" customFormat="false" ht="15" hidden="false" customHeight="false" outlineLevel="0" collapsed="false">
      <c r="H828" s="8" t="str">
        <f aca="false">IF($A828="","",IFERROR(INDEX(Products!$B$2:$B$50,MATCH($E828,Products!$A$2:$A$50,0)),"Unmapped"))</f>
        <v/>
      </c>
      <c r="I828" s="41" t="str">
        <f aca="false">IF($A828="","",IFERROR(INDEX(Products!$C$2:$C$50,MATCH($E828,Products!$A$2:$A$50,0)),0))</f>
        <v/>
      </c>
      <c r="J828" s="41" t="str">
        <f aca="false">IF($A828="","",IFERROR(INDEX(Products!$D$2:$D$50,MATCH($E828,Products!$A$2:$A$50,0)),0))</f>
        <v/>
      </c>
      <c r="K828" s="41" t="str">
        <f aca="false">IF($A828="","",$F828*$I828*(1-$G828))</f>
        <v/>
      </c>
      <c r="L828" s="41" t="str">
        <f aca="false">IF($A828="","",$F828*$J828)</f>
        <v/>
      </c>
      <c r="M828" s="41" t="str">
        <f aca="false">IF($A828="","",$K828-$L828)</f>
        <v/>
      </c>
    </row>
    <row r="829" customFormat="false" ht="15" hidden="false" customHeight="false" outlineLevel="0" collapsed="false">
      <c r="H829" s="8" t="str">
        <f aca="false">IF($A829="","",IFERROR(INDEX(Products!$B$2:$B$50,MATCH($E829,Products!$A$2:$A$50,0)),"Unmapped"))</f>
        <v/>
      </c>
      <c r="I829" s="41" t="str">
        <f aca="false">IF($A829="","",IFERROR(INDEX(Products!$C$2:$C$50,MATCH($E829,Products!$A$2:$A$50,0)),0))</f>
        <v/>
      </c>
      <c r="J829" s="41" t="str">
        <f aca="false">IF($A829="","",IFERROR(INDEX(Products!$D$2:$D$50,MATCH($E829,Products!$A$2:$A$50,0)),0))</f>
        <v/>
      </c>
      <c r="K829" s="41" t="str">
        <f aca="false">IF($A829="","",$F829*$I829*(1-$G829))</f>
        <v/>
      </c>
      <c r="L829" s="41" t="str">
        <f aca="false">IF($A829="","",$F829*$J829)</f>
        <v/>
      </c>
      <c r="M829" s="41" t="str">
        <f aca="false">IF($A829="","",$K829-$L829)</f>
        <v/>
      </c>
    </row>
    <row r="830" customFormat="false" ht="15" hidden="false" customHeight="false" outlineLevel="0" collapsed="false">
      <c r="H830" s="8" t="str">
        <f aca="false">IF($A830="","",IFERROR(INDEX(Products!$B$2:$B$50,MATCH($E830,Products!$A$2:$A$50,0)),"Unmapped"))</f>
        <v/>
      </c>
      <c r="I830" s="41" t="str">
        <f aca="false">IF($A830="","",IFERROR(INDEX(Products!$C$2:$C$50,MATCH($E830,Products!$A$2:$A$50,0)),0))</f>
        <v/>
      </c>
      <c r="J830" s="41" t="str">
        <f aca="false">IF($A830="","",IFERROR(INDEX(Products!$D$2:$D$50,MATCH($E830,Products!$A$2:$A$50,0)),0))</f>
        <v/>
      </c>
      <c r="K830" s="41" t="str">
        <f aca="false">IF($A830="","",$F830*$I830*(1-$G830))</f>
        <v/>
      </c>
      <c r="L830" s="41" t="str">
        <f aca="false">IF($A830="","",$F830*$J830)</f>
        <v/>
      </c>
      <c r="M830" s="41" t="str">
        <f aca="false">IF($A830="","",$K830-$L830)</f>
        <v/>
      </c>
    </row>
    <row r="831" customFormat="false" ht="15" hidden="false" customHeight="false" outlineLevel="0" collapsed="false">
      <c r="H831" s="8" t="str">
        <f aca="false">IF($A831="","",IFERROR(INDEX(Products!$B$2:$B$50,MATCH($E831,Products!$A$2:$A$50,0)),"Unmapped"))</f>
        <v/>
      </c>
      <c r="I831" s="41" t="str">
        <f aca="false">IF($A831="","",IFERROR(INDEX(Products!$C$2:$C$50,MATCH($E831,Products!$A$2:$A$50,0)),0))</f>
        <v/>
      </c>
      <c r="J831" s="41" t="str">
        <f aca="false">IF($A831="","",IFERROR(INDEX(Products!$D$2:$D$50,MATCH($E831,Products!$A$2:$A$50,0)),0))</f>
        <v/>
      </c>
      <c r="K831" s="41" t="str">
        <f aca="false">IF($A831="","",$F831*$I831*(1-$G831))</f>
        <v/>
      </c>
      <c r="L831" s="41" t="str">
        <f aca="false">IF($A831="","",$F831*$J831)</f>
        <v/>
      </c>
      <c r="M831" s="41" t="str">
        <f aca="false">IF($A831="","",$K831-$L831)</f>
        <v/>
      </c>
    </row>
    <row r="832" customFormat="false" ht="15" hidden="false" customHeight="false" outlineLevel="0" collapsed="false">
      <c r="H832" s="8" t="str">
        <f aca="false">IF($A832="","",IFERROR(INDEX(Products!$B$2:$B$50,MATCH($E832,Products!$A$2:$A$50,0)),"Unmapped"))</f>
        <v/>
      </c>
      <c r="I832" s="41" t="str">
        <f aca="false">IF($A832="","",IFERROR(INDEX(Products!$C$2:$C$50,MATCH($E832,Products!$A$2:$A$50,0)),0))</f>
        <v/>
      </c>
      <c r="J832" s="41" t="str">
        <f aca="false">IF($A832="","",IFERROR(INDEX(Products!$D$2:$D$50,MATCH($E832,Products!$A$2:$A$50,0)),0))</f>
        <v/>
      </c>
      <c r="K832" s="41" t="str">
        <f aca="false">IF($A832="","",$F832*$I832*(1-$G832))</f>
        <v/>
      </c>
      <c r="L832" s="41" t="str">
        <f aca="false">IF($A832="","",$F832*$J832)</f>
        <v/>
      </c>
      <c r="M832" s="41" t="str">
        <f aca="false">IF($A832="","",$K832-$L832)</f>
        <v/>
      </c>
    </row>
    <row r="833" customFormat="false" ht="15" hidden="false" customHeight="false" outlineLevel="0" collapsed="false">
      <c r="H833" s="8" t="str">
        <f aca="false">IF($A833="","",IFERROR(INDEX(Products!$B$2:$B$50,MATCH($E833,Products!$A$2:$A$50,0)),"Unmapped"))</f>
        <v/>
      </c>
      <c r="I833" s="41" t="str">
        <f aca="false">IF($A833="","",IFERROR(INDEX(Products!$C$2:$C$50,MATCH($E833,Products!$A$2:$A$50,0)),0))</f>
        <v/>
      </c>
      <c r="J833" s="41" t="str">
        <f aca="false">IF($A833="","",IFERROR(INDEX(Products!$D$2:$D$50,MATCH($E833,Products!$A$2:$A$50,0)),0))</f>
        <v/>
      </c>
      <c r="K833" s="41" t="str">
        <f aca="false">IF($A833="","",$F833*$I833*(1-$G833))</f>
        <v/>
      </c>
      <c r="L833" s="41" t="str">
        <f aca="false">IF($A833="","",$F833*$J833)</f>
        <v/>
      </c>
      <c r="M833" s="41" t="str">
        <f aca="false">IF($A833="","",$K833-$L833)</f>
        <v/>
      </c>
    </row>
    <row r="834" customFormat="false" ht="15" hidden="false" customHeight="false" outlineLevel="0" collapsed="false">
      <c r="H834" s="8" t="str">
        <f aca="false">IF($A834="","",IFERROR(INDEX(Products!$B$2:$B$50,MATCH($E834,Products!$A$2:$A$50,0)),"Unmapped"))</f>
        <v/>
      </c>
      <c r="I834" s="41" t="str">
        <f aca="false">IF($A834="","",IFERROR(INDEX(Products!$C$2:$C$50,MATCH($E834,Products!$A$2:$A$50,0)),0))</f>
        <v/>
      </c>
      <c r="J834" s="41" t="str">
        <f aca="false">IF($A834="","",IFERROR(INDEX(Products!$D$2:$D$50,MATCH($E834,Products!$A$2:$A$50,0)),0))</f>
        <v/>
      </c>
      <c r="K834" s="41" t="str">
        <f aca="false">IF($A834="","",$F834*$I834*(1-$G834))</f>
        <v/>
      </c>
      <c r="L834" s="41" t="str">
        <f aca="false">IF($A834="","",$F834*$J834)</f>
        <v/>
      </c>
      <c r="M834" s="41" t="str">
        <f aca="false">IF($A834="","",$K834-$L834)</f>
        <v/>
      </c>
    </row>
    <row r="835" customFormat="false" ht="15" hidden="false" customHeight="false" outlineLevel="0" collapsed="false">
      <c r="H835" s="8" t="str">
        <f aca="false">IF($A835="","",IFERROR(INDEX(Products!$B$2:$B$50,MATCH($E835,Products!$A$2:$A$50,0)),"Unmapped"))</f>
        <v/>
      </c>
      <c r="I835" s="41" t="str">
        <f aca="false">IF($A835="","",IFERROR(INDEX(Products!$C$2:$C$50,MATCH($E835,Products!$A$2:$A$50,0)),0))</f>
        <v/>
      </c>
      <c r="J835" s="41" t="str">
        <f aca="false">IF($A835="","",IFERROR(INDEX(Products!$D$2:$D$50,MATCH($E835,Products!$A$2:$A$50,0)),0))</f>
        <v/>
      </c>
      <c r="K835" s="41" t="str">
        <f aca="false">IF($A835="","",$F835*$I835*(1-$G835))</f>
        <v/>
      </c>
      <c r="L835" s="41" t="str">
        <f aca="false">IF($A835="","",$F835*$J835)</f>
        <v/>
      </c>
      <c r="M835" s="41" t="str">
        <f aca="false">IF($A835="","",$K835-$L835)</f>
        <v/>
      </c>
    </row>
    <row r="836" customFormat="false" ht="15" hidden="false" customHeight="false" outlineLevel="0" collapsed="false">
      <c r="H836" s="8" t="str">
        <f aca="false">IF($A836="","",IFERROR(INDEX(Products!$B$2:$B$50,MATCH($E836,Products!$A$2:$A$50,0)),"Unmapped"))</f>
        <v/>
      </c>
      <c r="I836" s="41" t="str">
        <f aca="false">IF($A836="","",IFERROR(INDEX(Products!$C$2:$C$50,MATCH($E836,Products!$A$2:$A$50,0)),0))</f>
        <v/>
      </c>
      <c r="J836" s="41" t="str">
        <f aca="false">IF($A836="","",IFERROR(INDEX(Products!$D$2:$D$50,MATCH($E836,Products!$A$2:$A$50,0)),0))</f>
        <v/>
      </c>
      <c r="K836" s="41" t="str">
        <f aca="false">IF($A836="","",$F836*$I836*(1-$G836))</f>
        <v/>
      </c>
      <c r="L836" s="41" t="str">
        <f aca="false">IF($A836="","",$F836*$J836)</f>
        <v/>
      </c>
      <c r="M836" s="41" t="str">
        <f aca="false">IF($A836="","",$K836-$L836)</f>
        <v/>
      </c>
    </row>
    <row r="837" customFormat="false" ht="15" hidden="false" customHeight="false" outlineLevel="0" collapsed="false">
      <c r="H837" s="8" t="str">
        <f aca="false">IF($A837="","",IFERROR(INDEX(Products!$B$2:$B$50,MATCH($E837,Products!$A$2:$A$50,0)),"Unmapped"))</f>
        <v/>
      </c>
      <c r="I837" s="41" t="str">
        <f aca="false">IF($A837="","",IFERROR(INDEX(Products!$C$2:$C$50,MATCH($E837,Products!$A$2:$A$50,0)),0))</f>
        <v/>
      </c>
      <c r="J837" s="41" t="str">
        <f aca="false">IF($A837="","",IFERROR(INDEX(Products!$D$2:$D$50,MATCH($E837,Products!$A$2:$A$50,0)),0))</f>
        <v/>
      </c>
      <c r="K837" s="41" t="str">
        <f aca="false">IF($A837="","",$F837*$I837*(1-$G837))</f>
        <v/>
      </c>
      <c r="L837" s="41" t="str">
        <f aca="false">IF($A837="","",$F837*$J837)</f>
        <v/>
      </c>
      <c r="M837" s="41" t="str">
        <f aca="false">IF($A837="","",$K837-$L837)</f>
        <v/>
      </c>
    </row>
    <row r="838" customFormat="false" ht="15" hidden="false" customHeight="false" outlineLevel="0" collapsed="false">
      <c r="H838" s="8" t="str">
        <f aca="false">IF($A838="","",IFERROR(INDEX(Products!$B$2:$B$50,MATCH($E838,Products!$A$2:$A$50,0)),"Unmapped"))</f>
        <v/>
      </c>
      <c r="I838" s="41" t="str">
        <f aca="false">IF($A838="","",IFERROR(INDEX(Products!$C$2:$C$50,MATCH($E838,Products!$A$2:$A$50,0)),0))</f>
        <v/>
      </c>
      <c r="J838" s="41" t="str">
        <f aca="false">IF($A838="","",IFERROR(INDEX(Products!$D$2:$D$50,MATCH($E838,Products!$A$2:$A$50,0)),0))</f>
        <v/>
      </c>
      <c r="K838" s="41" t="str">
        <f aca="false">IF($A838="","",$F838*$I838*(1-$G838))</f>
        <v/>
      </c>
      <c r="L838" s="41" t="str">
        <f aca="false">IF($A838="","",$F838*$J838)</f>
        <v/>
      </c>
      <c r="M838" s="41" t="str">
        <f aca="false">IF($A838="","",$K838-$L838)</f>
        <v/>
      </c>
    </row>
    <row r="839" customFormat="false" ht="15" hidden="false" customHeight="false" outlineLevel="0" collapsed="false">
      <c r="H839" s="8" t="str">
        <f aca="false">IF($A839="","",IFERROR(INDEX(Products!$B$2:$B$50,MATCH($E839,Products!$A$2:$A$50,0)),"Unmapped"))</f>
        <v/>
      </c>
      <c r="I839" s="41" t="str">
        <f aca="false">IF($A839="","",IFERROR(INDEX(Products!$C$2:$C$50,MATCH($E839,Products!$A$2:$A$50,0)),0))</f>
        <v/>
      </c>
      <c r="J839" s="41" t="str">
        <f aca="false">IF($A839="","",IFERROR(INDEX(Products!$D$2:$D$50,MATCH($E839,Products!$A$2:$A$50,0)),0))</f>
        <v/>
      </c>
      <c r="K839" s="41" t="str">
        <f aca="false">IF($A839="","",$F839*$I839*(1-$G839))</f>
        <v/>
      </c>
      <c r="L839" s="41" t="str">
        <f aca="false">IF($A839="","",$F839*$J839)</f>
        <v/>
      </c>
      <c r="M839" s="41" t="str">
        <f aca="false">IF($A839="","",$K839-$L839)</f>
        <v/>
      </c>
    </row>
    <row r="840" customFormat="false" ht="15" hidden="false" customHeight="false" outlineLevel="0" collapsed="false">
      <c r="H840" s="8" t="str">
        <f aca="false">IF($A840="","",IFERROR(INDEX(Products!$B$2:$B$50,MATCH($E840,Products!$A$2:$A$50,0)),"Unmapped"))</f>
        <v/>
      </c>
      <c r="I840" s="41" t="str">
        <f aca="false">IF($A840="","",IFERROR(INDEX(Products!$C$2:$C$50,MATCH($E840,Products!$A$2:$A$50,0)),0))</f>
        <v/>
      </c>
      <c r="J840" s="41" t="str">
        <f aca="false">IF($A840="","",IFERROR(INDEX(Products!$D$2:$D$50,MATCH($E840,Products!$A$2:$A$50,0)),0))</f>
        <v/>
      </c>
      <c r="K840" s="41" t="str">
        <f aca="false">IF($A840="","",$F840*$I840*(1-$G840))</f>
        <v/>
      </c>
      <c r="L840" s="41" t="str">
        <f aca="false">IF($A840="","",$F840*$J840)</f>
        <v/>
      </c>
      <c r="M840" s="41" t="str">
        <f aca="false">IF($A840="","",$K840-$L840)</f>
        <v/>
      </c>
    </row>
    <row r="841" customFormat="false" ht="15" hidden="false" customHeight="false" outlineLevel="0" collapsed="false">
      <c r="H841" s="8" t="str">
        <f aca="false">IF($A841="","",IFERROR(INDEX(Products!$B$2:$B$50,MATCH($E841,Products!$A$2:$A$50,0)),"Unmapped"))</f>
        <v/>
      </c>
      <c r="I841" s="41" t="str">
        <f aca="false">IF($A841="","",IFERROR(INDEX(Products!$C$2:$C$50,MATCH($E841,Products!$A$2:$A$50,0)),0))</f>
        <v/>
      </c>
      <c r="J841" s="41" t="str">
        <f aca="false">IF($A841="","",IFERROR(INDEX(Products!$D$2:$D$50,MATCH($E841,Products!$A$2:$A$50,0)),0))</f>
        <v/>
      </c>
      <c r="K841" s="41" t="str">
        <f aca="false">IF($A841="","",$F841*$I841*(1-$G841))</f>
        <v/>
      </c>
      <c r="L841" s="41" t="str">
        <f aca="false">IF($A841="","",$F841*$J841)</f>
        <v/>
      </c>
      <c r="M841" s="41" t="str">
        <f aca="false">IF($A841="","",$K841-$L841)</f>
        <v/>
      </c>
    </row>
    <row r="842" customFormat="false" ht="15" hidden="false" customHeight="false" outlineLevel="0" collapsed="false">
      <c r="H842" s="8" t="str">
        <f aca="false">IF($A842="","",IFERROR(INDEX(Products!$B$2:$B$50,MATCH($E842,Products!$A$2:$A$50,0)),"Unmapped"))</f>
        <v/>
      </c>
      <c r="I842" s="41" t="str">
        <f aca="false">IF($A842="","",IFERROR(INDEX(Products!$C$2:$C$50,MATCH($E842,Products!$A$2:$A$50,0)),0))</f>
        <v/>
      </c>
      <c r="J842" s="41" t="str">
        <f aca="false">IF($A842="","",IFERROR(INDEX(Products!$D$2:$D$50,MATCH($E842,Products!$A$2:$A$50,0)),0))</f>
        <v/>
      </c>
      <c r="K842" s="41" t="str">
        <f aca="false">IF($A842="","",$F842*$I842*(1-$G842))</f>
        <v/>
      </c>
      <c r="L842" s="41" t="str">
        <f aca="false">IF($A842="","",$F842*$J842)</f>
        <v/>
      </c>
      <c r="M842" s="41" t="str">
        <f aca="false">IF($A842="","",$K842-$L842)</f>
        <v/>
      </c>
    </row>
    <row r="843" customFormat="false" ht="15" hidden="false" customHeight="false" outlineLevel="0" collapsed="false">
      <c r="H843" s="8" t="str">
        <f aca="false">IF($A843="","",IFERROR(INDEX(Products!$B$2:$B$50,MATCH($E843,Products!$A$2:$A$50,0)),"Unmapped"))</f>
        <v/>
      </c>
      <c r="I843" s="41" t="str">
        <f aca="false">IF($A843="","",IFERROR(INDEX(Products!$C$2:$C$50,MATCH($E843,Products!$A$2:$A$50,0)),0))</f>
        <v/>
      </c>
      <c r="J843" s="41" t="str">
        <f aca="false">IF($A843="","",IFERROR(INDEX(Products!$D$2:$D$50,MATCH($E843,Products!$A$2:$A$50,0)),0))</f>
        <v/>
      </c>
      <c r="K843" s="41" t="str">
        <f aca="false">IF($A843="","",$F843*$I843*(1-$G843))</f>
        <v/>
      </c>
      <c r="L843" s="41" t="str">
        <f aca="false">IF($A843="","",$F843*$J843)</f>
        <v/>
      </c>
      <c r="M843" s="41" t="str">
        <f aca="false">IF($A843="","",$K843-$L843)</f>
        <v/>
      </c>
    </row>
    <row r="844" customFormat="false" ht="15" hidden="false" customHeight="false" outlineLevel="0" collapsed="false">
      <c r="H844" s="8" t="str">
        <f aca="false">IF($A844="","",IFERROR(INDEX(Products!$B$2:$B$50,MATCH($E844,Products!$A$2:$A$50,0)),"Unmapped"))</f>
        <v/>
      </c>
      <c r="I844" s="41" t="str">
        <f aca="false">IF($A844="","",IFERROR(INDEX(Products!$C$2:$C$50,MATCH($E844,Products!$A$2:$A$50,0)),0))</f>
        <v/>
      </c>
      <c r="J844" s="41" t="str">
        <f aca="false">IF($A844="","",IFERROR(INDEX(Products!$D$2:$D$50,MATCH($E844,Products!$A$2:$A$50,0)),0))</f>
        <v/>
      </c>
      <c r="K844" s="41" t="str">
        <f aca="false">IF($A844="","",$F844*$I844*(1-$G844))</f>
        <v/>
      </c>
      <c r="L844" s="41" t="str">
        <f aca="false">IF($A844="","",$F844*$J844)</f>
        <v/>
      </c>
      <c r="M844" s="41" t="str">
        <f aca="false">IF($A844="","",$K844-$L844)</f>
        <v/>
      </c>
    </row>
    <row r="845" customFormat="false" ht="15" hidden="false" customHeight="false" outlineLevel="0" collapsed="false">
      <c r="H845" s="8" t="str">
        <f aca="false">IF($A845="","",IFERROR(INDEX(Products!$B$2:$B$50,MATCH($E845,Products!$A$2:$A$50,0)),"Unmapped"))</f>
        <v/>
      </c>
      <c r="I845" s="41" t="str">
        <f aca="false">IF($A845="","",IFERROR(INDEX(Products!$C$2:$C$50,MATCH($E845,Products!$A$2:$A$50,0)),0))</f>
        <v/>
      </c>
      <c r="J845" s="41" t="str">
        <f aca="false">IF($A845="","",IFERROR(INDEX(Products!$D$2:$D$50,MATCH($E845,Products!$A$2:$A$50,0)),0))</f>
        <v/>
      </c>
      <c r="K845" s="41" t="str">
        <f aca="false">IF($A845="","",$F845*$I845*(1-$G845))</f>
        <v/>
      </c>
      <c r="L845" s="41" t="str">
        <f aca="false">IF($A845="","",$F845*$J845)</f>
        <v/>
      </c>
      <c r="M845" s="41" t="str">
        <f aca="false">IF($A845="","",$K845-$L845)</f>
        <v/>
      </c>
    </row>
    <row r="846" customFormat="false" ht="15" hidden="false" customHeight="false" outlineLevel="0" collapsed="false">
      <c r="H846" s="8" t="str">
        <f aca="false">IF($A846="","",IFERROR(INDEX(Products!$B$2:$B$50,MATCH($E846,Products!$A$2:$A$50,0)),"Unmapped"))</f>
        <v/>
      </c>
      <c r="I846" s="41" t="str">
        <f aca="false">IF($A846="","",IFERROR(INDEX(Products!$C$2:$C$50,MATCH($E846,Products!$A$2:$A$50,0)),0))</f>
        <v/>
      </c>
      <c r="J846" s="41" t="str">
        <f aca="false">IF($A846="","",IFERROR(INDEX(Products!$D$2:$D$50,MATCH($E846,Products!$A$2:$A$50,0)),0))</f>
        <v/>
      </c>
      <c r="K846" s="41" t="str">
        <f aca="false">IF($A846="","",$F846*$I846*(1-$G846))</f>
        <v/>
      </c>
      <c r="L846" s="41" t="str">
        <f aca="false">IF($A846="","",$F846*$J846)</f>
        <v/>
      </c>
      <c r="M846" s="41" t="str">
        <f aca="false">IF($A846="","",$K846-$L846)</f>
        <v/>
      </c>
    </row>
    <row r="847" customFormat="false" ht="15" hidden="false" customHeight="false" outlineLevel="0" collapsed="false">
      <c r="H847" s="8" t="str">
        <f aca="false">IF($A847="","",IFERROR(INDEX(Products!$B$2:$B$50,MATCH($E847,Products!$A$2:$A$50,0)),"Unmapped"))</f>
        <v/>
      </c>
      <c r="I847" s="41" t="str">
        <f aca="false">IF($A847="","",IFERROR(INDEX(Products!$C$2:$C$50,MATCH($E847,Products!$A$2:$A$50,0)),0))</f>
        <v/>
      </c>
      <c r="J847" s="41" t="str">
        <f aca="false">IF($A847="","",IFERROR(INDEX(Products!$D$2:$D$50,MATCH($E847,Products!$A$2:$A$50,0)),0))</f>
        <v/>
      </c>
      <c r="K847" s="41" t="str">
        <f aca="false">IF($A847="","",$F847*$I847*(1-$G847))</f>
        <v/>
      </c>
      <c r="L847" s="41" t="str">
        <f aca="false">IF($A847="","",$F847*$J847)</f>
        <v/>
      </c>
      <c r="M847" s="41" t="str">
        <f aca="false">IF($A847="","",$K847-$L847)</f>
        <v/>
      </c>
    </row>
    <row r="848" customFormat="false" ht="15" hidden="false" customHeight="false" outlineLevel="0" collapsed="false">
      <c r="H848" s="8" t="str">
        <f aca="false">IF($A848="","",IFERROR(INDEX(Products!$B$2:$B$50,MATCH($E848,Products!$A$2:$A$50,0)),"Unmapped"))</f>
        <v/>
      </c>
      <c r="I848" s="41" t="str">
        <f aca="false">IF($A848="","",IFERROR(INDEX(Products!$C$2:$C$50,MATCH($E848,Products!$A$2:$A$50,0)),0))</f>
        <v/>
      </c>
      <c r="J848" s="41" t="str">
        <f aca="false">IF($A848="","",IFERROR(INDEX(Products!$D$2:$D$50,MATCH($E848,Products!$A$2:$A$50,0)),0))</f>
        <v/>
      </c>
      <c r="K848" s="41" t="str">
        <f aca="false">IF($A848="","",$F848*$I848*(1-$G848))</f>
        <v/>
      </c>
      <c r="L848" s="41" t="str">
        <f aca="false">IF($A848="","",$F848*$J848)</f>
        <v/>
      </c>
      <c r="M848" s="41" t="str">
        <f aca="false">IF($A848="","",$K848-$L848)</f>
        <v/>
      </c>
    </row>
    <row r="849" customFormat="false" ht="15" hidden="false" customHeight="false" outlineLevel="0" collapsed="false">
      <c r="H849" s="8" t="str">
        <f aca="false">IF($A849="","",IFERROR(INDEX(Products!$B$2:$B$50,MATCH($E849,Products!$A$2:$A$50,0)),"Unmapped"))</f>
        <v/>
      </c>
      <c r="I849" s="41" t="str">
        <f aca="false">IF($A849="","",IFERROR(INDEX(Products!$C$2:$C$50,MATCH($E849,Products!$A$2:$A$50,0)),0))</f>
        <v/>
      </c>
      <c r="J849" s="41" t="str">
        <f aca="false">IF($A849="","",IFERROR(INDEX(Products!$D$2:$D$50,MATCH($E849,Products!$A$2:$A$50,0)),0))</f>
        <v/>
      </c>
      <c r="K849" s="41" t="str">
        <f aca="false">IF($A849="","",$F849*$I849*(1-$G849))</f>
        <v/>
      </c>
      <c r="L849" s="41" t="str">
        <f aca="false">IF($A849="","",$F849*$J849)</f>
        <v/>
      </c>
      <c r="M849" s="41" t="str">
        <f aca="false">IF($A849="","",$K849-$L849)</f>
        <v/>
      </c>
    </row>
    <row r="850" customFormat="false" ht="15" hidden="false" customHeight="false" outlineLevel="0" collapsed="false">
      <c r="H850" s="8" t="str">
        <f aca="false">IF($A850="","",IFERROR(INDEX(Products!$B$2:$B$50,MATCH($E850,Products!$A$2:$A$50,0)),"Unmapped"))</f>
        <v/>
      </c>
      <c r="I850" s="41" t="str">
        <f aca="false">IF($A850="","",IFERROR(INDEX(Products!$C$2:$C$50,MATCH($E850,Products!$A$2:$A$50,0)),0))</f>
        <v/>
      </c>
      <c r="J850" s="41" t="str">
        <f aca="false">IF($A850="","",IFERROR(INDEX(Products!$D$2:$D$50,MATCH($E850,Products!$A$2:$A$50,0)),0))</f>
        <v/>
      </c>
      <c r="K850" s="41" t="str">
        <f aca="false">IF($A850="","",$F850*$I850*(1-$G850))</f>
        <v/>
      </c>
      <c r="L850" s="41" t="str">
        <f aca="false">IF($A850="","",$F850*$J850)</f>
        <v/>
      </c>
      <c r="M850" s="41" t="str">
        <f aca="false">IF($A850="","",$K850-$L850)</f>
        <v/>
      </c>
    </row>
    <row r="851" customFormat="false" ht="15" hidden="false" customHeight="false" outlineLevel="0" collapsed="false">
      <c r="H851" s="8" t="str">
        <f aca="false">IF($A851="","",IFERROR(INDEX(Products!$B$2:$B$50,MATCH($E851,Products!$A$2:$A$50,0)),"Unmapped"))</f>
        <v/>
      </c>
      <c r="I851" s="41" t="str">
        <f aca="false">IF($A851="","",IFERROR(INDEX(Products!$C$2:$C$50,MATCH($E851,Products!$A$2:$A$50,0)),0))</f>
        <v/>
      </c>
      <c r="J851" s="41" t="str">
        <f aca="false">IF($A851="","",IFERROR(INDEX(Products!$D$2:$D$50,MATCH($E851,Products!$A$2:$A$50,0)),0))</f>
        <v/>
      </c>
      <c r="K851" s="41" t="str">
        <f aca="false">IF($A851="","",$F851*$I851*(1-$G851))</f>
        <v/>
      </c>
      <c r="L851" s="41" t="str">
        <f aca="false">IF($A851="","",$F851*$J851)</f>
        <v/>
      </c>
      <c r="M851" s="41" t="str">
        <f aca="false">IF($A851="","",$K851-$L851)</f>
        <v/>
      </c>
    </row>
    <row r="852" customFormat="false" ht="15" hidden="false" customHeight="false" outlineLevel="0" collapsed="false">
      <c r="H852" s="8" t="str">
        <f aca="false">IF($A852="","",IFERROR(INDEX(Products!$B$2:$B$50,MATCH($E852,Products!$A$2:$A$50,0)),"Unmapped"))</f>
        <v/>
      </c>
      <c r="I852" s="41" t="str">
        <f aca="false">IF($A852="","",IFERROR(INDEX(Products!$C$2:$C$50,MATCH($E852,Products!$A$2:$A$50,0)),0))</f>
        <v/>
      </c>
      <c r="J852" s="41" t="str">
        <f aca="false">IF($A852="","",IFERROR(INDEX(Products!$D$2:$D$50,MATCH($E852,Products!$A$2:$A$50,0)),0))</f>
        <v/>
      </c>
      <c r="K852" s="41" t="str">
        <f aca="false">IF($A852="","",$F852*$I852*(1-$G852))</f>
        <v/>
      </c>
      <c r="L852" s="41" t="str">
        <f aca="false">IF($A852="","",$F852*$J852)</f>
        <v/>
      </c>
      <c r="M852" s="41" t="str">
        <f aca="false">IF($A852="","",$K852-$L852)</f>
        <v/>
      </c>
    </row>
    <row r="853" customFormat="false" ht="15" hidden="false" customHeight="false" outlineLevel="0" collapsed="false">
      <c r="H853" s="8" t="str">
        <f aca="false">IF($A853="","",IFERROR(INDEX(Products!$B$2:$B$50,MATCH($E853,Products!$A$2:$A$50,0)),"Unmapped"))</f>
        <v/>
      </c>
      <c r="I853" s="41" t="str">
        <f aca="false">IF($A853="","",IFERROR(INDEX(Products!$C$2:$C$50,MATCH($E853,Products!$A$2:$A$50,0)),0))</f>
        <v/>
      </c>
      <c r="J853" s="41" t="str">
        <f aca="false">IF($A853="","",IFERROR(INDEX(Products!$D$2:$D$50,MATCH($E853,Products!$A$2:$A$50,0)),0))</f>
        <v/>
      </c>
      <c r="K853" s="41" t="str">
        <f aca="false">IF($A853="","",$F853*$I853*(1-$G853))</f>
        <v/>
      </c>
      <c r="L853" s="41" t="str">
        <f aca="false">IF($A853="","",$F853*$J853)</f>
        <v/>
      </c>
      <c r="M853" s="41" t="str">
        <f aca="false">IF($A853="","",$K853-$L853)</f>
        <v/>
      </c>
    </row>
    <row r="854" customFormat="false" ht="15" hidden="false" customHeight="false" outlineLevel="0" collapsed="false">
      <c r="H854" s="8" t="str">
        <f aca="false">IF($A854="","",IFERROR(INDEX(Products!$B$2:$B$50,MATCH($E854,Products!$A$2:$A$50,0)),"Unmapped"))</f>
        <v/>
      </c>
      <c r="I854" s="41" t="str">
        <f aca="false">IF($A854="","",IFERROR(INDEX(Products!$C$2:$C$50,MATCH($E854,Products!$A$2:$A$50,0)),0))</f>
        <v/>
      </c>
      <c r="J854" s="41" t="str">
        <f aca="false">IF($A854="","",IFERROR(INDEX(Products!$D$2:$D$50,MATCH($E854,Products!$A$2:$A$50,0)),0))</f>
        <v/>
      </c>
      <c r="K854" s="41" t="str">
        <f aca="false">IF($A854="","",$F854*$I854*(1-$G854))</f>
        <v/>
      </c>
      <c r="L854" s="41" t="str">
        <f aca="false">IF($A854="","",$F854*$J854)</f>
        <v/>
      </c>
      <c r="M854" s="41" t="str">
        <f aca="false">IF($A854="","",$K854-$L854)</f>
        <v/>
      </c>
    </row>
    <row r="855" customFormat="false" ht="15" hidden="false" customHeight="false" outlineLevel="0" collapsed="false">
      <c r="H855" s="8" t="str">
        <f aca="false">IF($A855="","",IFERROR(INDEX(Products!$B$2:$B$50,MATCH($E855,Products!$A$2:$A$50,0)),"Unmapped"))</f>
        <v/>
      </c>
      <c r="I855" s="41" t="str">
        <f aca="false">IF($A855="","",IFERROR(INDEX(Products!$C$2:$C$50,MATCH($E855,Products!$A$2:$A$50,0)),0))</f>
        <v/>
      </c>
      <c r="J855" s="41" t="str">
        <f aca="false">IF($A855="","",IFERROR(INDEX(Products!$D$2:$D$50,MATCH($E855,Products!$A$2:$A$50,0)),0))</f>
        <v/>
      </c>
      <c r="K855" s="41" t="str">
        <f aca="false">IF($A855="","",$F855*$I855*(1-$G855))</f>
        <v/>
      </c>
      <c r="L855" s="41" t="str">
        <f aca="false">IF($A855="","",$F855*$J855)</f>
        <v/>
      </c>
      <c r="M855" s="41" t="str">
        <f aca="false">IF($A855="","",$K855-$L855)</f>
        <v/>
      </c>
    </row>
    <row r="856" customFormat="false" ht="15" hidden="false" customHeight="false" outlineLevel="0" collapsed="false">
      <c r="H856" s="8" t="str">
        <f aca="false">IF($A856="","",IFERROR(INDEX(Products!$B$2:$B$50,MATCH($E856,Products!$A$2:$A$50,0)),"Unmapped"))</f>
        <v/>
      </c>
      <c r="I856" s="41" t="str">
        <f aca="false">IF($A856="","",IFERROR(INDEX(Products!$C$2:$C$50,MATCH($E856,Products!$A$2:$A$50,0)),0))</f>
        <v/>
      </c>
      <c r="J856" s="41" t="str">
        <f aca="false">IF($A856="","",IFERROR(INDEX(Products!$D$2:$D$50,MATCH($E856,Products!$A$2:$A$50,0)),0))</f>
        <v/>
      </c>
      <c r="K856" s="41" t="str">
        <f aca="false">IF($A856="","",$F856*$I856*(1-$G856))</f>
        <v/>
      </c>
      <c r="L856" s="41" t="str">
        <f aca="false">IF($A856="","",$F856*$J856)</f>
        <v/>
      </c>
      <c r="M856" s="41" t="str">
        <f aca="false">IF($A856="","",$K856-$L856)</f>
        <v/>
      </c>
    </row>
    <row r="857" customFormat="false" ht="15" hidden="false" customHeight="false" outlineLevel="0" collapsed="false">
      <c r="H857" s="8" t="str">
        <f aca="false">IF($A857="","",IFERROR(INDEX(Products!$B$2:$B$50,MATCH($E857,Products!$A$2:$A$50,0)),"Unmapped"))</f>
        <v/>
      </c>
      <c r="I857" s="41" t="str">
        <f aca="false">IF($A857="","",IFERROR(INDEX(Products!$C$2:$C$50,MATCH($E857,Products!$A$2:$A$50,0)),0))</f>
        <v/>
      </c>
      <c r="J857" s="41" t="str">
        <f aca="false">IF($A857="","",IFERROR(INDEX(Products!$D$2:$D$50,MATCH($E857,Products!$A$2:$A$50,0)),0))</f>
        <v/>
      </c>
      <c r="K857" s="41" t="str">
        <f aca="false">IF($A857="","",$F857*$I857*(1-$G857))</f>
        <v/>
      </c>
      <c r="L857" s="41" t="str">
        <f aca="false">IF($A857="","",$F857*$J857)</f>
        <v/>
      </c>
      <c r="M857" s="41" t="str">
        <f aca="false">IF($A857="","",$K857-$L857)</f>
        <v/>
      </c>
    </row>
    <row r="858" customFormat="false" ht="15" hidden="false" customHeight="false" outlineLevel="0" collapsed="false">
      <c r="H858" s="8" t="str">
        <f aca="false">IF($A858="","",IFERROR(INDEX(Products!$B$2:$B$50,MATCH($E858,Products!$A$2:$A$50,0)),"Unmapped"))</f>
        <v/>
      </c>
      <c r="I858" s="41" t="str">
        <f aca="false">IF($A858="","",IFERROR(INDEX(Products!$C$2:$C$50,MATCH($E858,Products!$A$2:$A$50,0)),0))</f>
        <v/>
      </c>
      <c r="J858" s="41" t="str">
        <f aca="false">IF($A858="","",IFERROR(INDEX(Products!$D$2:$D$50,MATCH($E858,Products!$A$2:$A$50,0)),0))</f>
        <v/>
      </c>
      <c r="K858" s="41" t="str">
        <f aca="false">IF($A858="","",$F858*$I858*(1-$G858))</f>
        <v/>
      </c>
      <c r="L858" s="41" t="str">
        <f aca="false">IF($A858="","",$F858*$J858)</f>
        <v/>
      </c>
      <c r="M858" s="41" t="str">
        <f aca="false">IF($A858="","",$K858-$L858)</f>
        <v/>
      </c>
    </row>
    <row r="859" customFormat="false" ht="15" hidden="false" customHeight="false" outlineLevel="0" collapsed="false">
      <c r="H859" s="8" t="str">
        <f aca="false">IF($A859="","",IFERROR(INDEX(Products!$B$2:$B$50,MATCH($E859,Products!$A$2:$A$50,0)),"Unmapped"))</f>
        <v/>
      </c>
      <c r="I859" s="41" t="str">
        <f aca="false">IF($A859="","",IFERROR(INDEX(Products!$C$2:$C$50,MATCH($E859,Products!$A$2:$A$50,0)),0))</f>
        <v/>
      </c>
      <c r="J859" s="41" t="str">
        <f aca="false">IF($A859="","",IFERROR(INDEX(Products!$D$2:$D$50,MATCH($E859,Products!$A$2:$A$50,0)),0))</f>
        <v/>
      </c>
      <c r="K859" s="41" t="str">
        <f aca="false">IF($A859="","",$F859*$I859*(1-$G859))</f>
        <v/>
      </c>
      <c r="L859" s="41" t="str">
        <f aca="false">IF($A859="","",$F859*$J859)</f>
        <v/>
      </c>
      <c r="M859" s="41" t="str">
        <f aca="false">IF($A859="","",$K859-$L859)</f>
        <v/>
      </c>
    </row>
    <row r="860" customFormat="false" ht="15" hidden="false" customHeight="false" outlineLevel="0" collapsed="false">
      <c r="H860" s="8" t="str">
        <f aca="false">IF($A860="","",IFERROR(INDEX(Products!$B$2:$B$50,MATCH($E860,Products!$A$2:$A$50,0)),"Unmapped"))</f>
        <v/>
      </c>
      <c r="I860" s="41" t="str">
        <f aca="false">IF($A860="","",IFERROR(INDEX(Products!$C$2:$C$50,MATCH($E860,Products!$A$2:$A$50,0)),0))</f>
        <v/>
      </c>
      <c r="J860" s="41" t="str">
        <f aca="false">IF($A860="","",IFERROR(INDEX(Products!$D$2:$D$50,MATCH($E860,Products!$A$2:$A$50,0)),0))</f>
        <v/>
      </c>
      <c r="K860" s="41" t="str">
        <f aca="false">IF($A860="","",$F860*$I860*(1-$G860))</f>
        <v/>
      </c>
      <c r="L860" s="41" t="str">
        <f aca="false">IF($A860="","",$F860*$J860)</f>
        <v/>
      </c>
      <c r="M860" s="41" t="str">
        <f aca="false">IF($A860="","",$K860-$L860)</f>
        <v/>
      </c>
    </row>
    <row r="861" customFormat="false" ht="15" hidden="false" customHeight="false" outlineLevel="0" collapsed="false">
      <c r="H861" s="8" t="str">
        <f aca="false">IF($A861="","",IFERROR(INDEX(Products!$B$2:$B$50,MATCH($E861,Products!$A$2:$A$50,0)),"Unmapped"))</f>
        <v/>
      </c>
      <c r="I861" s="41" t="str">
        <f aca="false">IF($A861="","",IFERROR(INDEX(Products!$C$2:$C$50,MATCH($E861,Products!$A$2:$A$50,0)),0))</f>
        <v/>
      </c>
      <c r="J861" s="41" t="str">
        <f aca="false">IF($A861="","",IFERROR(INDEX(Products!$D$2:$D$50,MATCH($E861,Products!$A$2:$A$50,0)),0))</f>
        <v/>
      </c>
      <c r="K861" s="41" t="str">
        <f aca="false">IF($A861="","",$F861*$I861*(1-$G861))</f>
        <v/>
      </c>
      <c r="L861" s="41" t="str">
        <f aca="false">IF($A861="","",$F861*$J861)</f>
        <v/>
      </c>
      <c r="M861" s="41" t="str">
        <f aca="false">IF($A861="","",$K861-$L861)</f>
        <v/>
      </c>
    </row>
    <row r="862" customFormat="false" ht="15" hidden="false" customHeight="false" outlineLevel="0" collapsed="false">
      <c r="H862" s="8" t="str">
        <f aca="false">IF($A862="","",IFERROR(INDEX(Products!$B$2:$B$50,MATCH($E862,Products!$A$2:$A$50,0)),"Unmapped"))</f>
        <v/>
      </c>
      <c r="I862" s="41" t="str">
        <f aca="false">IF($A862="","",IFERROR(INDEX(Products!$C$2:$C$50,MATCH($E862,Products!$A$2:$A$50,0)),0))</f>
        <v/>
      </c>
      <c r="J862" s="41" t="str">
        <f aca="false">IF($A862="","",IFERROR(INDEX(Products!$D$2:$D$50,MATCH($E862,Products!$A$2:$A$50,0)),0))</f>
        <v/>
      </c>
      <c r="K862" s="41" t="str">
        <f aca="false">IF($A862="","",$F862*$I862*(1-$G862))</f>
        <v/>
      </c>
      <c r="L862" s="41" t="str">
        <f aca="false">IF($A862="","",$F862*$J862)</f>
        <v/>
      </c>
      <c r="M862" s="41" t="str">
        <f aca="false">IF($A862="","",$K862-$L862)</f>
        <v/>
      </c>
    </row>
    <row r="863" customFormat="false" ht="15" hidden="false" customHeight="false" outlineLevel="0" collapsed="false">
      <c r="H863" s="8" t="str">
        <f aca="false">IF($A863="","",IFERROR(INDEX(Products!$B$2:$B$50,MATCH($E863,Products!$A$2:$A$50,0)),"Unmapped"))</f>
        <v/>
      </c>
      <c r="I863" s="41" t="str">
        <f aca="false">IF($A863="","",IFERROR(INDEX(Products!$C$2:$C$50,MATCH($E863,Products!$A$2:$A$50,0)),0))</f>
        <v/>
      </c>
      <c r="J863" s="41" t="str">
        <f aca="false">IF($A863="","",IFERROR(INDEX(Products!$D$2:$D$50,MATCH($E863,Products!$A$2:$A$50,0)),0))</f>
        <v/>
      </c>
      <c r="K863" s="41" t="str">
        <f aca="false">IF($A863="","",$F863*$I863*(1-$G863))</f>
        <v/>
      </c>
      <c r="L863" s="41" t="str">
        <f aca="false">IF($A863="","",$F863*$J863)</f>
        <v/>
      </c>
      <c r="M863" s="41" t="str">
        <f aca="false">IF($A863="","",$K863-$L863)</f>
        <v/>
      </c>
    </row>
    <row r="864" customFormat="false" ht="15" hidden="false" customHeight="false" outlineLevel="0" collapsed="false">
      <c r="H864" s="8" t="str">
        <f aca="false">IF($A864="","",IFERROR(INDEX(Products!$B$2:$B$50,MATCH($E864,Products!$A$2:$A$50,0)),"Unmapped"))</f>
        <v/>
      </c>
      <c r="I864" s="41" t="str">
        <f aca="false">IF($A864="","",IFERROR(INDEX(Products!$C$2:$C$50,MATCH($E864,Products!$A$2:$A$50,0)),0))</f>
        <v/>
      </c>
      <c r="J864" s="41" t="str">
        <f aca="false">IF($A864="","",IFERROR(INDEX(Products!$D$2:$D$50,MATCH($E864,Products!$A$2:$A$50,0)),0))</f>
        <v/>
      </c>
      <c r="K864" s="41" t="str">
        <f aca="false">IF($A864="","",$F864*$I864*(1-$G864))</f>
        <v/>
      </c>
      <c r="L864" s="41" t="str">
        <f aca="false">IF($A864="","",$F864*$J864)</f>
        <v/>
      </c>
      <c r="M864" s="41" t="str">
        <f aca="false">IF($A864="","",$K864-$L864)</f>
        <v/>
      </c>
    </row>
    <row r="865" customFormat="false" ht="15" hidden="false" customHeight="false" outlineLevel="0" collapsed="false">
      <c r="H865" s="8" t="str">
        <f aca="false">IF($A865="","",IFERROR(INDEX(Products!$B$2:$B$50,MATCH($E865,Products!$A$2:$A$50,0)),"Unmapped"))</f>
        <v/>
      </c>
      <c r="I865" s="41" t="str">
        <f aca="false">IF($A865="","",IFERROR(INDEX(Products!$C$2:$C$50,MATCH($E865,Products!$A$2:$A$50,0)),0))</f>
        <v/>
      </c>
      <c r="J865" s="41" t="str">
        <f aca="false">IF($A865="","",IFERROR(INDEX(Products!$D$2:$D$50,MATCH($E865,Products!$A$2:$A$50,0)),0))</f>
        <v/>
      </c>
      <c r="K865" s="41" t="str">
        <f aca="false">IF($A865="","",$F865*$I865*(1-$G865))</f>
        <v/>
      </c>
      <c r="L865" s="41" t="str">
        <f aca="false">IF($A865="","",$F865*$J865)</f>
        <v/>
      </c>
      <c r="M865" s="41" t="str">
        <f aca="false">IF($A865="","",$K865-$L865)</f>
        <v/>
      </c>
    </row>
    <row r="866" customFormat="false" ht="15" hidden="false" customHeight="false" outlineLevel="0" collapsed="false">
      <c r="H866" s="8" t="str">
        <f aca="false">IF($A866="","",IFERROR(INDEX(Products!$B$2:$B$50,MATCH($E866,Products!$A$2:$A$50,0)),"Unmapped"))</f>
        <v/>
      </c>
      <c r="I866" s="41" t="str">
        <f aca="false">IF($A866="","",IFERROR(INDEX(Products!$C$2:$C$50,MATCH($E866,Products!$A$2:$A$50,0)),0))</f>
        <v/>
      </c>
      <c r="J866" s="41" t="str">
        <f aca="false">IF($A866="","",IFERROR(INDEX(Products!$D$2:$D$50,MATCH($E866,Products!$A$2:$A$50,0)),0))</f>
        <v/>
      </c>
      <c r="K866" s="41" t="str">
        <f aca="false">IF($A866="","",$F866*$I866*(1-$G866))</f>
        <v/>
      </c>
      <c r="L866" s="41" t="str">
        <f aca="false">IF($A866="","",$F866*$J866)</f>
        <v/>
      </c>
      <c r="M866" s="41" t="str">
        <f aca="false">IF($A866="","",$K866-$L866)</f>
        <v/>
      </c>
    </row>
    <row r="867" customFormat="false" ht="15" hidden="false" customHeight="false" outlineLevel="0" collapsed="false">
      <c r="H867" s="8" t="str">
        <f aca="false">IF($A867="","",IFERROR(INDEX(Products!$B$2:$B$50,MATCH($E867,Products!$A$2:$A$50,0)),"Unmapped"))</f>
        <v/>
      </c>
      <c r="I867" s="41" t="str">
        <f aca="false">IF($A867="","",IFERROR(INDEX(Products!$C$2:$C$50,MATCH($E867,Products!$A$2:$A$50,0)),0))</f>
        <v/>
      </c>
      <c r="J867" s="41" t="str">
        <f aca="false">IF($A867="","",IFERROR(INDEX(Products!$D$2:$D$50,MATCH($E867,Products!$A$2:$A$50,0)),0))</f>
        <v/>
      </c>
      <c r="K867" s="41" t="str">
        <f aca="false">IF($A867="","",$F867*$I867*(1-$G867))</f>
        <v/>
      </c>
      <c r="L867" s="41" t="str">
        <f aca="false">IF($A867="","",$F867*$J867)</f>
        <v/>
      </c>
      <c r="M867" s="41" t="str">
        <f aca="false">IF($A867="","",$K867-$L867)</f>
        <v/>
      </c>
    </row>
    <row r="868" customFormat="false" ht="15" hidden="false" customHeight="false" outlineLevel="0" collapsed="false">
      <c r="H868" s="8" t="str">
        <f aca="false">IF($A868="","",IFERROR(INDEX(Products!$B$2:$B$50,MATCH($E868,Products!$A$2:$A$50,0)),"Unmapped"))</f>
        <v/>
      </c>
      <c r="I868" s="41" t="str">
        <f aca="false">IF($A868="","",IFERROR(INDEX(Products!$C$2:$C$50,MATCH($E868,Products!$A$2:$A$50,0)),0))</f>
        <v/>
      </c>
      <c r="J868" s="41" t="str">
        <f aca="false">IF($A868="","",IFERROR(INDEX(Products!$D$2:$D$50,MATCH($E868,Products!$A$2:$A$50,0)),0))</f>
        <v/>
      </c>
      <c r="K868" s="41" t="str">
        <f aca="false">IF($A868="","",$F868*$I868*(1-$G868))</f>
        <v/>
      </c>
      <c r="L868" s="41" t="str">
        <f aca="false">IF($A868="","",$F868*$J868)</f>
        <v/>
      </c>
      <c r="M868" s="41" t="str">
        <f aca="false">IF($A868="","",$K868-$L868)</f>
        <v/>
      </c>
    </row>
    <row r="869" customFormat="false" ht="15" hidden="false" customHeight="false" outlineLevel="0" collapsed="false">
      <c r="H869" s="8" t="str">
        <f aca="false">IF($A869="","",IFERROR(INDEX(Products!$B$2:$B$50,MATCH($E869,Products!$A$2:$A$50,0)),"Unmapped"))</f>
        <v/>
      </c>
      <c r="I869" s="41" t="str">
        <f aca="false">IF($A869="","",IFERROR(INDEX(Products!$C$2:$C$50,MATCH($E869,Products!$A$2:$A$50,0)),0))</f>
        <v/>
      </c>
      <c r="J869" s="41" t="str">
        <f aca="false">IF($A869="","",IFERROR(INDEX(Products!$D$2:$D$50,MATCH($E869,Products!$A$2:$A$50,0)),0))</f>
        <v/>
      </c>
      <c r="K869" s="41" t="str">
        <f aca="false">IF($A869="","",$F869*$I869*(1-$G869))</f>
        <v/>
      </c>
      <c r="L869" s="41" t="str">
        <f aca="false">IF($A869="","",$F869*$J869)</f>
        <v/>
      </c>
      <c r="M869" s="41" t="str">
        <f aca="false">IF($A869="","",$K869-$L869)</f>
        <v/>
      </c>
    </row>
    <row r="870" customFormat="false" ht="15" hidden="false" customHeight="false" outlineLevel="0" collapsed="false">
      <c r="H870" s="8" t="str">
        <f aca="false">IF($A870="","",IFERROR(INDEX(Products!$B$2:$B$50,MATCH($E870,Products!$A$2:$A$50,0)),"Unmapped"))</f>
        <v/>
      </c>
      <c r="I870" s="41" t="str">
        <f aca="false">IF($A870="","",IFERROR(INDEX(Products!$C$2:$C$50,MATCH($E870,Products!$A$2:$A$50,0)),0))</f>
        <v/>
      </c>
      <c r="J870" s="41" t="str">
        <f aca="false">IF($A870="","",IFERROR(INDEX(Products!$D$2:$D$50,MATCH($E870,Products!$A$2:$A$50,0)),0))</f>
        <v/>
      </c>
      <c r="K870" s="41" t="str">
        <f aca="false">IF($A870="","",$F870*$I870*(1-$G870))</f>
        <v/>
      </c>
      <c r="L870" s="41" t="str">
        <f aca="false">IF($A870="","",$F870*$J870)</f>
        <v/>
      </c>
      <c r="M870" s="41" t="str">
        <f aca="false">IF($A870="","",$K870-$L870)</f>
        <v/>
      </c>
    </row>
    <row r="871" customFormat="false" ht="15" hidden="false" customHeight="false" outlineLevel="0" collapsed="false">
      <c r="H871" s="8" t="str">
        <f aca="false">IF($A871="","",IFERROR(INDEX(Products!$B$2:$B$50,MATCH($E871,Products!$A$2:$A$50,0)),"Unmapped"))</f>
        <v/>
      </c>
      <c r="I871" s="41" t="str">
        <f aca="false">IF($A871="","",IFERROR(INDEX(Products!$C$2:$C$50,MATCH($E871,Products!$A$2:$A$50,0)),0))</f>
        <v/>
      </c>
      <c r="J871" s="41" t="str">
        <f aca="false">IF($A871="","",IFERROR(INDEX(Products!$D$2:$D$50,MATCH($E871,Products!$A$2:$A$50,0)),0))</f>
        <v/>
      </c>
      <c r="K871" s="41" t="str">
        <f aca="false">IF($A871="","",$F871*$I871*(1-$G871))</f>
        <v/>
      </c>
      <c r="L871" s="41" t="str">
        <f aca="false">IF($A871="","",$F871*$J871)</f>
        <v/>
      </c>
      <c r="M871" s="41" t="str">
        <f aca="false">IF($A871="","",$K871-$L871)</f>
        <v/>
      </c>
    </row>
    <row r="872" customFormat="false" ht="15" hidden="false" customHeight="false" outlineLevel="0" collapsed="false">
      <c r="H872" s="8" t="str">
        <f aca="false">IF($A872="","",IFERROR(INDEX(Products!$B$2:$B$50,MATCH($E872,Products!$A$2:$A$50,0)),"Unmapped"))</f>
        <v/>
      </c>
      <c r="I872" s="41" t="str">
        <f aca="false">IF($A872="","",IFERROR(INDEX(Products!$C$2:$C$50,MATCH($E872,Products!$A$2:$A$50,0)),0))</f>
        <v/>
      </c>
      <c r="J872" s="41" t="str">
        <f aca="false">IF($A872="","",IFERROR(INDEX(Products!$D$2:$D$50,MATCH($E872,Products!$A$2:$A$50,0)),0))</f>
        <v/>
      </c>
      <c r="K872" s="41" t="str">
        <f aca="false">IF($A872="","",$F872*$I872*(1-$G872))</f>
        <v/>
      </c>
      <c r="L872" s="41" t="str">
        <f aca="false">IF($A872="","",$F872*$J872)</f>
        <v/>
      </c>
      <c r="M872" s="41" t="str">
        <f aca="false">IF($A872="","",$K872-$L872)</f>
        <v/>
      </c>
    </row>
    <row r="873" customFormat="false" ht="15" hidden="false" customHeight="false" outlineLevel="0" collapsed="false">
      <c r="H873" s="8" t="str">
        <f aca="false">IF($A873="","",IFERROR(INDEX(Products!$B$2:$B$50,MATCH($E873,Products!$A$2:$A$50,0)),"Unmapped"))</f>
        <v/>
      </c>
      <c r="I873" s="41" t="str">
        <f aca="false">IF($A873="","",IFERROR(INDEX(Products!$C$2:$C$50,MATCH($E873,Products!$A$2:$A$50,0)),0))</f>
        <v/>
      </c>
      <c r="J873" s="41" t="str">
        <f aca="false">IF($A873="","",IFERROR(INDEX(Products!$D$2:$D$50,MATCH($E873,Products!$A$2:$A$50,0)),0))</f>
        <v/>
      </c>
      <c r="K873" s="41" t="str">
        <f aca="false">IF($A873="","",$F873*$I873*(1-$G873))</f>
        <v/>
      </c>
      <c r="L873" s="41" t="str">
        <f aca="false">IF($A873="","",$F873*$J873)</f>
        <v/>
      </c>
      <c r="M873" s="41" t="str">
        <f aca="false">IF($A873="","",$K873-$L873)</f>
        <v/>
      </c>
    </row>
    <row r="874" customFormat="false" ht="15" hidden="false" customHeight="false" outlineLevel="0" collapsed="false">
      <c r="H874" s="8" t="str">
        <f aca="false">IF($A874="","",IFERROR(INDEX(Products!$B$2:$B$50,MATCH($E874,Products!$A$2:$A$50,0)),"Unmapped"))</f>
        <v/>
      </c>
      <c r="I874" s="41" t="str">
        <f aca="false">IF($A874="","",IFERROR(INDEX(Products!$C$2:$C$50,MATCH($E874,Products!$A$2:$A$50,0)),0))</f>
        <v/>
      </c>
      <c r="J874" s="41" t="str">
        <f aca="false">IF($A874="","",IFERROR(INDEX(Products!$D$2:$D$50,MATCH($E874,Products!$A$2:$A$50,0)),0))</f>
        <v/>
      </c>
      <c r="K874" s="41" t="str">
        <f aca="false">IF($A874="","",$F874*$I874*(1-$G874))</f>
        <v/>
      </c>
      <c r="L874" s="41" t="str">
        <f aca="false">IF($A874="","",$F874*$J874)</f>
        <v/>
      </c>
      <c r="M874" s="41" t="str">
        <f aca="false">IF($A874="","",$K874-$L874)</f>
        <v/>
      </c>
    </row>
    <row r="875" customFormat="false" ht="15" hidden="false" customHeight="false" outlineLevel="0" collapsed="false">
      <c r="H875" s="8" t="str">
        <f aca="false">IF($A875="","",IFERROR(INDEX(Products!$B$2:$B$50,MATCH($E875,Products!$A$2:$A$50,0)),"Unmapped"))</f>
        <v/>
      </c>
      <c r="I875" s="41" t="str">
        <f aca="false">IF($A875="","",IFERROR(INDEX(Products!$C$2:$C$50,MATCH($E875,Products!$A$2:$A$50,0)),0))</f>
        <v/>
      </c>
      <c r="J875" s="41" t="str">
        <f aca="false">IF($A875="","",IFERROR(INDEX(Products!$D$2:$D$50,MATCH($E875,Products!$A$2:$A$50,0)),0))</f>
        <v/>
      </c>
      <c r="K875" s="41" t="str">
        <f aca="false">IF($A875="","",$F875*$I875*(1-$G875))</f>
        <v/>
      </c>
      <c r="L875" s="41" t="str">
        <f aca="false">IF($A875="","",$F875*$J875)</f>
        <v/>
      </c>
      <c r="M875" s="41" t="str">
        <f aca="false">IF($A875="","",$K875-$L875)</f>
        <v/>
      </c>
    </row>
    <row r="876" customFormat="false" ht="15" hidden="false" customHeight="false" outlineLevel="0" collapsed="false">
      <c r="H876" s="8" t="str">
        <f aca="false">IF($A876="","",IFERROR(INDEX(Products!$B$2:$B$50,MATCH($E876,Products!$A$2:$A$50,0)),"Unmapped"))</f>
        <v/>
      </c>
      <c r="I876" s="41" t="str">
        <f aca="false">IF($A876="","",IFERROR(INDEX(Products!$C$2:$C$50,MATCH($E876,Products!$A$2:$A$50,0)),0))</f>
        <v/>
      </c>
      <c r="J876" s="41" t="str">
        <f aca="false">IF($A876="","",IFERROR(INDEX(Products!$D$2:$D$50,MATCH($E876,Products!$A$2:$A$50,0)),0))</f>
        <v/>
      </c>
      <c r="K876" s="41" t="str">
        <f aca="false">IF($A876="","",$F876*$I876*(1-$G876))</f>
        <v/>
      </c>
      <c r="L876" s="41" t="str">
        <f aca="false">IF($A876="","",$F876*$J876)</f>
        <v/>
      </c>
      <c r="M876" s="41" t="str">
        <f aca="false">IF($A876="","",$K876-$L876)</f>
        <v/>
      </c>
    </row>
    <row r="877" customFormat="false" ht="15" hidden="false" customHeight="false" outlineLevel="0" collapsed="false">
      <c r="H877" s="8" t="str">
        <f aca="false">IF($A877="","",IFERROR(INDEX(Products!$B$2:$B$50,MATCH($E877,Products!$A$2:$A$50,0)),"Unmapped"))</f>
        <v/>
      </c>
      <c r="I877" s="41" t="str">
        <f aca="false">IF($A877="","",IFERROR(INDEX(Products!$C$2:$C$50,MATCH($E877,Products!$A$2:$A$50,0)),0))</f>
        <v/>
      </c>
      <c r="J877" s="41" t="str">
        <f aca="false">IF($A877="","",IFERROR(INDEX(Products!$D$2:$D$50,MATCH($E877,Products!$A$2:$A$50,0)),0))</f>
        <v/>
      </c>
      <c r="K877" s="41" t="str">
        <f aca="false">IF($A877="","",$F877*$I877*(1-$G877))</f>
        <v/>
      </c>
      <c r="L877" s="41" t="str">
        <f aca="false">IF($A877="","",$F877*$J877)</f>
        <v/>
      </c>
      <c r="M877" s="41" t="str">
        <f aca="false">IF($A877="","",$K877-$L877)</f>
        <v/>
      </c>
    </row>
    <row r="878" customFormat="false" ht="15" hidden="false" customHeight="false" outlineLevel="0" collapsed="false">
      <c r="H878" s="8" t="str">
        <f aca="false">IF($A878="","",IFERROR(INDEX(Products!$B$2:$B$50,MATCH($E878,Products!$A$2:$A$50,0)),"Unmapped"))</f>
        <v/>
      </c>
      <c r="I878" s="41" t="str">
        <f aca="false">IF($A878="","",IFERROR(INDEX(Products!$C$2:$C$50,MATCH($E878,Products!$A$2:$A$50,0)),0))</f>
        <v/>
      </c>
      <c r="J878" s="41" t="str">
        <f aca="false">IF($A878="","",IFERROR(INDEX(Products!$D$2:$D$50,MATCH($E878,Products!$A$2:$A$50,0)),0))</f>
        <v/>
      </c>
      <c r="K878" s="41" t="str">
        <f aca="false">IF($A878="","",$F878*$I878*(1-$G878))</f>
        <v/>
      </c>
      <c r="L878" s="41" t="str">
        <f aca="false">IF($A878="","",$F878*$J878)</f>
        <v/>
      </c>
      <c r="M878" s="41" t="str">
        <f aca="false">IF($A878="","",$K878-$L878)</f>
        <v/>
      </c>
    </row>
    <row r="879" customFormat="false" ht="15" hidden="false" customHeight="false" outlineLevel="0" collapsed="false">
      <c r="H879" s="8" t="str">
        <f aca="false">IF($A879="","",IFERROR(INDEX(Products!$B$2:$B$50,MATCH($E879,Products!$A$2:$A$50,0)),"Unmapped"))</f>
        <v/>
      </c>
      <c r="I879" s="41" t="str">
        <f aca="false">IF($A879="","",IFERROR(INDEX(Products!$C$2:$C$50,MATCH($E879,Products!$A$2:$A$50,0)),0))</f>
        <v/>
      </c>
      <c r="J879" s="41" t="str">
        <f aca="false">IF($A879="","",IFERROR(INDEX(Products!$D$2:$D$50,MATCH($E879,Products!$A$2:$A$50,0)),0))</f>
        <v/>
      </c>
      <c r="K879" s="41" t="str">
        <f aca="false">IF($A879="","",$F879*$I879*(1-$G879))</f>
        <v/>
      </c>
      <c r="L879" s="41" t="str">
        <f aca="false">IF($A879="","",$F879*$J879)</f>
        <v/>
      </c>
      <c r="M879" s="41" t="str">
        <f aca="false">IF($A879="","",$K879-$L879)</f>
        <v/>
      </c>
    </row>
    <row r="880" customFormat="false" ht="15" hidden="false" customHeight="false" outlineLevel="0" collapsed="false">
      <c r="H880" s="8" t="str">
        <f aca="false">IF($A880="","",IFERROR(INDEX(Products!$B$2:$B$50,MATCH($E880,Products!$A$2:$A$50,0)),"Unmapped"))</f>
        <v/>
      </c>
      <c r="I880" s="41" t="str">
        <f aca="false">IF($A880="","",IFERROR(INDEX(Products!$C$2:$C$50,MATCH($E880,Products!$A$2:$A$50,0)),0))</f>
        <v/>
      </c>
      <c r="J880" s="41" t="str">
        <f aca="false">IF($A880="","",IFERROR(INDEX(Products!$D$2:$D$50,MATCH($E880,Products!$A$2:$A$50,0)),0))</f>
        <v/>
      </c>
      <c r="K880" s="41" t="str">
        <f aca="false">IF($A880="","",$F880*$I880*(1-$G880))</f>
        <v/>
      </c>
      <c r="L880" s="41" t="str">
        <f aca="false">IF($A880="","",$F880*$J880)</f>
        <v/>
      </c>
      <c r="M880" s="41" t="str">
        <f aca="false">IF($A880="","",$K880-$L880)</f>
        <v/>
      </c>
    </row>
    <row r="881" customFormat="false" ht="15" hidden="false" customHeight="false" outlineLevel="0" collapsed="false">
      <c r="H881" s="8" t="str">
        <f aca="false">IF($A881="","",IFERROR(INDEX(Products!$B$2:$B$50,MATCH($E881,Products!$A$2:$A$50,0)),"Unmapped"))</f>
        <v/>
      </c>
      <c r="I881" s="41" t="str">
        <f aca="false">IF($A881="","",IFERROR(INDEX(Products!$C$2:$C$50,MATCH($E881,Products!$A$2:$A$50,0)),0))</f>
        <v/>
      </c>
      <c r="J881" s="41" t="str">
        <f aca="false">IF($A881="","",IFERROR(INDEX(Products!$D$2:$D$50,MATCH($E881,Products!$A$2:$A$50,0)),0))</f>
        <v/>
      </c>
      <c r="K881" s="41" t="str">
        <f aca="false">IF($A881="","",$F881*$I881*(1-$G881))</f>
        <v/>
      </c>
      <c r="L881" s="41" t="str">
        <f aca="false">IF($A881="","",$F881*$J881)</f>
        <v/>
      </c>
      <c r="M881" s="41" t="str">
        <f aca="false">IF($A881="","",$K881-$L881)</f>
        <v/>
      </c>
    </row>
    <row r="882" customFormat="false" ht="15" hidden="false" customHeight="false" outlineLevel="0" collapsed="false">
      <c r="H882" s="8" t="str">
        <f aca="false">IF($A882="","",IFERROR(INDEX(Products!$B$2:$B$50,MATCH($E882,Products!$A$2:$A$50,0)),"Unmapped"))</f>
        <v/>
      </c>
      <c r="I882" s="41" t="str">
        <f aca="false">IF($A882="","",IFERROR(INDEX(Products!$C$2:$C$50,MATCH($E882,Products!$A$2:$A$50,0)),0))</f>
        <v/>
      </c>
      <c r="J882" s="41" t="str">
        <f aca="false">IF($A882="","",IFERROR(INDEX(Products!$D$2:$D$50,MATCH($E882,Products!$A$2:$A$50,0)),0))</f>
        <v/>
      </c>
      <c r="K882" s="41" t="str">
        <f aca="false">IF($A882="","",$F882*$I882*(1-$G882))</f>
        <v/>
      </c>
      <c r="L882" s="41" t="str">
        <f aca="false">IF($A882="","",$F882*$J882)</f>
        <v/>
      </c>
      <c r="M882" s="41" t="str">
        <f aca="false">IF($A882="","",$K882-$L882)</f>
        <v/>
      </c>
    </row>
    <row r="883" customFormat="false" ht="15" hidden="false" customHeight="false" outlineLevel="0" collapsed="false">
      <c r="H883" s="8" t="str">
        <f aca="false">IF($A883="","",IFERROR(INDEX(Products!$B$2:$B$50,MATCH($E883,Products!$A$2:$A$50,0)),"Unmapped"))</f>
        <v/>
      </c>
      <c r="I883" s="41" t="str">
        <f aca="false">IF($A883="","",IFERROR(INDEX(Products!$C$2:$C$50,MATCH($E883,Products!$A$2:$A$50,0)),0))</f>
        <v/>
      </c>
      <c r="J883" s="41" t="str">
        <f aca="false">IF($A883="","",IFERROR(INDEX(Products!$D$2:$D$50,MATCH($E883,Products!$A$2:$A$50,0)),0))</f>
        <v/>
      </c>
      <c r="K883" s="41" t="str">
        <f aca="false">IF($A883="","",$F883*$I883*(1-$G883))</f>
        <v/>
      </c>
      <c r="L883" s="41" t="str">
        <f aca="false">IF($A883="","",$F883*$J883)</f>
        <v/>
      </c>
      <c r="M883" s="41" t="str">
        <f aca="false">IF($A883="","",$K883-$L883)</f>
        <v/>
      </c>
    </row>
    <row r="884" customFormat="false" ht="15" hidden="false" customHeight="false" outlineLevel="0" collapsed="false">
      <c r="H884" s="8" t="str">
        <f aca="false">IF($A884="","",IFERROR(INDEX(Products!$B$2:$B$50,MATCH($E884,Products!$A$2:$A$50,0)),"Unmapped"))</f>
        <v/>
      </c>
      <c r="I884" s="41" t="str">
        <f aca="false">IF($A884="","",IFERROR(INDEX(Products!$C$2:$C$50,MATCH($E884,Products!$A$2:$A$50,0)),0))</f>
        <v/>
      </c>
      <c r="J884" s="41" t="str">
        <f aca="false">IF($A884="","",IFERROR(INDEX(Products!$D$2:$D$50,MATCH($E884,Products!$A$2:$A$50,0)),0))</f>
        <v/>
      </c>
      <c r="K884" s="41" t="str">
        <f aca="false">IF($A884="","",$F884*$I884*(1-$G884))</f>
        <v/>
      </c>
      <c r="L884" s="41" t="str">
        <f aca="false">IF($A884="","",$F884*$J884)</f>
        <v/>
      </c>
      <c r="M884" s="41" t="str">
        <f aca="false">IF($A884="","",$K884-$L884)</f>
        <v/>
      </c>
    </row>
    <row r="885" customFormat="false" ht="15" hidden="false" customHeight="false" outlineLevel="0" collapsed="false">
      <c r="H885" s="8" t="str">
        <f aca="false">IF($A885="","",IFERROR(INDEX(Products!$B$2:$B$50,MATCH($E885,Products!$A$2:$A$50,0)),"Unmapped"))</f>
        <v/>
      </c>
      <c r="I885" s="41" t="str">
        <f aca="false">IF($A885="","",IFERROR(INDEX(Products!$C$2:$C$50,MATCH($E885,Products!$A$2:$A$50,0)),0))</f>
        <v/>
      </c>
      <c r="J885" s="41" t="str">
        <f aca="false">IF($A885="","",IFERROR(INDEX(Products!$D$2:$D$50,MATCH($E885,Products!$A$2:$A$50,0)),0))</f>
        <v/>
      </c>
      <c r="K885" s="41" t="str">
        <f aca="false">IF($A885="","",$F885*$I885*(1-$G885))</f>
        <v/>
      </c>
      <c r="L885" s="41" t="str">
        <f aca="false">IF($A885="","",$F885*$J885)</f>
        <v/>
      </c>
      <c r="M885" s="41" t="str">
        <f aca="false">IF($A885="","",$K885-$L885)</f>
        <v/>
      </c>
    </row>
    <row r="886" customFormat="false" ht="15" hidden="false" customHeight="false" outlineLevel="0" collapsed="false">
      <c r="H886" s="8" t="str">
        <f aca="false">IF($A886="","",IFERROR(INDEX(Products!$B$2:$B$50,MATCH($E886,Products!$A$2:$A$50,0)),"Unmapped"))</f>
        <v/>
      </c>
      <c r="I886" s="41" t="str">
        <f aca="false">IF($A886="","",IFERROR(INDEX(Products!$C$2:$C$50,MATCH($E886,Products!$A$2:$A$50,0)),0))</f>
        <v/>
      </c>
      <c r="J886" s="41" t="str">
        <f aca="false">IF($A886="","",IFERROR(INDEX(Products!$D$2:$D$50,MATCH($E886,Products!$A$2:$A$50,0)),0))</f>
        <v/>
      </c>
      <c r="K886" s="41" t="str">
        <f aca="false">IF($A886="","",$F886*$I886*(1-$G886))</f>
        <v/>
      </c>
      <c r="L886" s="41" t="str">
        <f aca="false">IF($A886="","",$F886*$J886)</f>
        <v/>
      </c>
      <c r="M886" s="41" t="str">
        <f aca="false">IF($A886="","",$K886-$L886)</f>
        <v/>
      </c>
    </row>
    <row r="887" customFormat="false" ht="15" hidden="false" customHeight="false" outlineLevel="0" collapsed="false">
      <c r="H887" s="8" t="str">
        <f aca="false">IF($A887="","",IFERROR(INDEX(Products!$B$2:$B$50,MATCH($E887,Products!$A$2:$A$50,0)),"Unmapped"))</f>
        <v/>
      </c>
      <c r="I887" s="41" t="str">
        <f aca="false">IF($A887="","",IFERROR(INDEX(Products!$C$2:$C$50,MATCH($E887,Products!$A$2:$A$50,0)),0))</f>
        <v/>
      </c>
      <c r="J887" s="41" t="str">
        <f aca="false">IF($A887="","",IFERROR(INDEX(Products!$D$2:$D$50,MATCH($E887,Products!$A$2:$A$50,0)),0))</f>
        <v/>
      </c>
      <c r="K887" s="41" t="str">
        <f aca="false">IF($A887="","",$F887*$I887*(1-$G887))</f>
        <v/>
      </c>
      <c r="L887" s="41" t="str">
        <f aca="false">IF($A887="","",$F887*$J887)</f>
        <v/>
      </c>
      <c r="M887" s="41" t="str">
        <f aca="false">IF($A887="","",$K887-$L887)</f>
        <v/>
      </c>
    </row>
    <row r="888" customFormat="false" ht="15" hidden="false" customHeight="false" outlineLevel="0" collapsed="false">
      <c r="H888" s="8" t="str">
        <f aca="false">IF($A888="","",IFERROR(INDEX(Products!$B$2:$B$50,MATCH($E888,Products!$A$2:$A$50,0)),"Unmapped"))</f>
        <v/>
      </c>
      <c r="I888" s="41" t="str">
        <f aca="false">IF($A888="","",IFERROR(INDEX(Products!$C$2:$C$50,MATCH($E888,Products!$A$2:$A$50,0)),0))</f>
        <v/>
      </c>
      <c r="J888" s="41" t="str">
        <f aca="false">IF($A888="","",IFERROR(INDEX(Products!$D$2:$D$50,MATCH($E888,Products!$A$2:$A$50,0)),0))</f>
        <v/>
      </c>
      <c r="K888" s="41" t="str">
        <f aca="false">IF($A888="","",$F888*$I888*(1-$G888))</f>
        <v/>
      </c>
      <c r="L888" s="41" t="str">
        <f aca="false">IF($A888="","",$F888*$J888)</f>
        <v/>
      </c>
      <c r="M888" s="41" t="str">
        <f aca="false">IF($A888="","",$K888-$L888)</f>
        <v/>
      </c>
    </row>
    <row r="889" customFormat="false" ht="15" hidden="false" customHeight="false" outlineLevel="0" collapsed="false">
      <c r="H889" s="8" t="str">
        <f aca="false">IF($A889="","",IFERROR(INDEX(Products!$B$2:$B$50,MATCH($E889,Products!$A$2:$A$50,0)),"Unmapped"))</f>
        <v/>
      </c>
      <c r="I889" s="41" t="str">
        <f aca="false">IF($A889="","",IFERROR(INDEX(Products!$C$2:$C$50,MATCH($E889,Products!$A$2:$A$50,0)),0))</f>
        <v/>
      </c>
      <c r="J889" s="41" t="str">
        <f aca="false">IF($A889="","",IFERROR(INDEX(Products!$D$2:$D$50,MATCH($E889,Products!$A$2:$A$50,0)),0))</f>
        <v/>
      </c>
      <c r="K889" s="41" t="str">
        <f aca="false">IF($A889="","",$F889*$I889*(1-$G889))</f>
        <v/>
      </c>
      <c r="L889" s="41" t="str">
        <f aca="false">IF($A889="","",$F889*$J889)</f>
        <v/>
      </c>
      <c r="M889" s="41" t="str">
        <f aca="false">IF($A889="","",$K889-$L889)</f>
        <v/>
      </c>
    </row>
    <row r="890" customFormat="false" ht="15" hidden="false" customHeight="false" outlineLevel="0" collapsed="false">
      <c r="H890" s="8" t="str">
        <f aca="false">IF($A890="","",IFERROR(INDEX(Products!$B$2:$B$50,MATCH($E890,Products!$A$2:$A$50,0)),"Unmapped"))</f>
        <v/>
      </c>
      <c r="I890" s="41" t="str">
        <f aca="false">IF($A890="","",IFERROR(INDEX(Products!$C$2:$C$50,MATCH($E890,Products!$A$2:$A$50,0)),0))</f>
        <v/>
      </c>
      <c r="J890" s="41" t="str">
        <f aca="false">IF($A890="","",IFERROR(INDEX(Products!$D$2:$D$50,MATCH($E890,Products!$A$2:$A$50,0)),0))</f>
        <v/>
      </c>
      <c r="K890" s="41" t="str">
        <f aca="false">IF($A890="","",$F890*$I890*(1-$G890))</f>
        <v/>
      </c>
      <c r="L890" s="41" t="str">
        <f aca="false">IF($A890="","",$F890*$J890)</f>
        <v/>
      </c>
      <c r="M890" s="41" t="str">
        <f aca="false">IF($A890="","",$K890-$L890)</f>
        <v/>
      </c>
    </row>
    <row r="891" customFormat="false" ht="15" hidden="false" customHeight="false" outlineLevel="0" collapsed="false">
      <c r="H891" s="8" t="str">
        <f aca="false">IF($A891="","",IFERROR(INDEX(Products!$B$2:$B$50,MATCH($E891,Products!$A$2:$A$50,0)),"Unmapped"))</f>
        <v/>
      </c>
      <c r="I891" s="41" t="str">
        <f aca="false">IF($A891="","",IFERROR(INDEX(Products!$C$2:$C$50,MATCH($E891,Products!$A$2:$A$50,0)),0))</f>
        <v/>
      </c>
      <c r="J891" s="41" t="str">
        <f aca="false">IF($A891="","",IFERROR(INDEX(Products!$D$2:$D$50,MATCH($E891,Products!$A$2:$A$50,0)),0))</f>
        <v/>
      </c>
      <c r="K891" s="41" t="str">
        <f aca="false">IF($A891="","",$F891*$I891*(1-$G891))</f>
        <v/>
      </c>
      <c r="L891" s="41" t="str">
        <f aca="false">IF($A891="","",$F891*$J891)</f>
        <v/>
      </c>
      <c r="M891" s="41" t="str">
        <f aca="false">IF($A891="","",$K891-$L891)</f>
        <v/>
      </c>
    </row>
    <row r="892" customFormat="false" ht="15" hidden="false" customHeight="false" outlineLevel="0" collapsed="false">
      <c r="H892" s="8" t="str">
        <f aca="false">IF($A892="","",IFERROR(INDEX(Products!$B$2:$B$50,MATCH($E892,Products!$A$2:$A$50,0)),"Unmapped"))</f>
        <v/>
      </c>
      <c r="I892" s="41" t="str">
        <f aca="false">IF($A892="","",IFERROR(INDEX(Products!$C$2:$C$50,MATCH($E892,Products!$A$2:$A$50,0)),0))</f>
        <v/>
      </c>
      <c r="J892" s="41" t="str">
        <f aca="false">IF($A892="","",IFERROR(INDEX(Products!$D$2:$D$50,MATCH($E892,Products!$A$2:$A$50,0)),0))</f>
        <v/>
      </c>
      <c r="K892" s="41" t="str">
        <f aca="false">IF($A892="","",$F892*$I892*(1-$G892))</f>
        <v/>
      </c>
      <c r="L892" s="41" t="str">
        <f aca="false">IF($A892="","",$F892*$J892)</f>
        <v/>
      </c>
      <c r="M892" s="41" t="str">
        <f aca="false">IF($A892="","",$K892-$L892)</f>
        <v/>
      </c>
    </row>
    <row r="893" customFormat="false" ht="15" hidden="false" customHeight="false" outlineLevel="0" collapsed="false">
      <c r="H893" s="8" t="str">
        <f aca="false">IF($A893="","",IFERROR(INDEX(Products!$B$2:$B$50,MATCH($E893,Products!$A$2:$A$50,0)),"Unmapped"))</f>
        <v/>
      </c>
      <c r="I893" s="41" t="str">
        <f aca="false">IF($A893="","",IFERROR(INDEX(Products!$C$2:$C$50,MATCH($E893,Products!$A$2:$A$50,0)),0))</f>
        <v/>
      </c>
      <c r="J893" s="41" t="str">
        <f aca="false">IF($A893="","",IFERROR(INDEX(Products!$D$2:$D$50,MATCH($E893,Products!$A$2:$A$50,0)),0))</f>
        <v/>
      </c>
      <c r="K893" s="41" t="str">
        <f aca="false">IF($A893="","",$F893*$I893*(1-$G893))</f>
        <v/>
      </c>
      <c r="L893" s="41" t="str">
        <f aca="false">IF($A893="","",$F893*$J893)</f>
        <v/>
      </c>
      <c r="M893" s="41" t="str">
        <f aca="false">IF($A893="","",$K893-$L893)</f>
        <v/>
      </c>
    </row>
    <row r="894" customFormat="false" ht="15" hidden="false" customHeight="false" outlineLevel="0" collapsed="false">
      <c r="H894" s="8" t="str">
        <f aca="false">IF($A894="","",IFERROR(INDEX(Products!$B$2:$B$50,MATCH($E894,Products!$A$2:$A$50,0)),"Unmapped"))</f>
        <v/>
      </c>
      <c r="I894" s="41" t="str">
        <f aca="false">IF($A894="","",IFERROR(INDEX(Products!$C$2:$C$50,MATCH($E894,Products!$A$2:$A$50,0)),0))</f>
        <v/>
      </c>
      <c r="J894" s="41" t="str">
        <f aca="false">IF($A894="","",IFERROR(INDEX(Products!$D$2:$D$50,MATCH($E894,Products!$A$2:$A$50,0)),0))</f>
        <v/>
      </c>
      <c r="K894" s="41" t="str">
        <f aca="false">IF($A894="","",$F894*$I894*(1-$G894))</f>
        <v/>
      </c>
      <c r="L894" s="41" t="str">
        <f aca="false">IF($A894="","",$F894*$J894)</f>
        <v/>
      </c>
      <c r="M894" s="41" t="str">
        <f aca="false">IF($A894="","",$K894-$L894)</f>
        <v/>
      </c>
    </row>
    <row r="895" customFormat="false" ht="15" hidden="false" customHeight="false" outlineLevel="0" collapsed="false">
      <c r="H895" s="8" t="str">
        <f aca="false">IF($A895="","",IFERROR(INDEX(Products!$B$2:$B$50,MATCH($E895,Products!$A$2:$A$50,0)),"Unmapped"))</f>
        <v/>
      </c>
      <c r="I895" s="41" t="str">
        <f aca="false">IF($A895="","",IFERROR(INDEX(Products!$C$2:$C$50,MATCH($E895,Products!$A$2:$A$50,0)),0))</f>
        <v/>
      </c>
      <c r="J895" s="41" t="str">
        <f aca="false">IF($A895="","",IFERROR(INDEX(Products!$D$2:$D$50,MATCH($E895,Products!$A$2:$A$50,0)),0))</f>
        <v/>
      </c>
      <c r="K895" s="41" t="str">
        <f aca="false">IF($A895="","",$F895*$I895*(1-$G895))</f>
        <v/>
      </c>
      <c r="L895" s="41" t="str">
        <f aca="false">IF($A895="","",$F895*$J895)</f>
        <v/>
      </c>
      <c r="M895" s="41" t="str">
        <f aca="false">IF($A895="","",$K895-$L895)</f>
        <v/>
      </c>
    </row>
    <row r="896" customFormat="false" ht="15" hidden="false" customHeight="false" outlineLevel="0" collapsed="false">
      <c r="H896" s="8" t="str">
        <f aca="false">IF($A896="","",IFERROR(INDEX(Products!$B$2:$B$50,MATCH($E896,Products!$A$2:$A$50,0)),"Unmapped"))</f>
        <v/>
      </c>
      <c r="I896" s="41" t="str">
        <f aca="false">IF($A896="","",IFERROR(INDEX(Products!$C$2:$C$50,MATCH($E896,Products!$A$2:$A$50,0)),0))</f>
        <v/>
      </c>
      <c r="J896" s="41" t="str">
        <f aca="false">IF($A896="","",IFERROR(INDEX(Products!$D$2:$D$50,MATCH($E896,Products!$A$2:$A$50,0)),0))</f>
        <v/>
      </c>
      <c r="K896" s="41" t="str">
        <f aca="false">IF($A896="","",$F896*$I896*(1-$G896))</f>
        <v/>
      </c>
      <c r="L896" s="41" t="str">
        <f aca="false">IF($A896="","",$F896*$J896)</f>
        <v/>
      </c>
      <c r="M896" s="41" t="str">
        <f aca="false">IF($A896="","",$K896-$L896)</f>
        <v/>
      </c>
    </row>
    <row r="897" customFormat="false" ht="15" hidden="false" customHeight="false" outlineLevel="0" collapsed="false">
      <c r="H897" s="8" t="str">
        <f aca="false">IF($A897="","",IFERROR(INDEX(Products!$B$2:$B$50,MATCH($E897,Products!$A$2:$A$50,0)),"Unmapped"))</f>
        <v/>
      </c>
      <c r="I897" s="41" t="str">
        <f aca="false">IF($A897="","",IFERROR(INDEX(Products!$C$2:$C$50,MATCH($E897,Products!$A$2:$A$50,0)),0))</f>
        <v/>
      </c>
      <c r="J897" s="41" t="str">
        <f aca="false">IF($A897="","",IFERROR(INDEX(Products!$D$2:$D$50,MATCH($E897,Products!$A$2:$A$50,0)),0))</f>
        <v/>
      </c>
      <c r="K897" s="41" t="str">
        <f aca="false">IF($A897="","",$F897*$I897*(1-$G897))</f>
        <v/>
      </c>
      <c r="L897" s="41" t="str">
        <f aca="false">IF($A897="","",$F897*$J897)</f>
        <v/>
      </c>
      <c r="M897" s="41" t="str">
        <f aca="false">IF($A897="","",$K897-$L897)</f>
        <v/>
      </c>
    </row>
    <row r="898" customFormat="false" ht="15" hidden="false" customHeight="false" outlineLevel="0" collapsed="false">
      <c r="H898" s="8" t="str">
        <f aca="false">IF($A898="","",IFERROR(INDEX(Products!$B$2:$B$50,MATCH($E898,Products!$A$2:$A$50,0)),"Unmapped"))</f>
        <v/>
      </c>
      <c r="I898" s="41" t="str">
        <f aca="false">IF($A898="","",IFERROR(INDEX(Products!$C$2:$C$50,MATCH($E898,Products!$A$2:$A$50,0)),0))</f>
        <v/>
      </c>
      <c r="J898" s="41" t="str">
        <f aca="false">IF($A898="","",IFERROR(INDEX(Products!$D$2:$D$50,MATCH($E898,Products!$A$2:$A$50,0)),0))</f>
        <v/>
      </c>
      <c r="K898" s="41" t="str">
        <f aca="false">IF($A898="","",$F898*$I898*(1-$G898))</f>
        <v/>
      </c>
      <c r="L898" s="41" t="str">
        <f aca="false">IF($A898="","",$F898*$J898)</f>
        <v/>
      </c>
      <c r="M898" s="41" t="str">
        <f aca="false">IF($A898="","",$K898-$L898)</f>
        <v/>
      </c>
    </row>
    <row r="899" customFormat="false" ht="15" hidden="false" customHeight="false" outlineLevel="0" collapsed="false">
      <c r="H899" s="8" t="str">
        <f aca="false">IF($A899="","",IFERROR(INDEX(Products!$B$2:$B$50,MATCH($E899,Products!$A$2:$A$50,0)),"Unmapped"))</f>
        <v/>
      </c>
      <c r="I899" s="41" t="str">
        <f aca="false">IF($A899="","",IFERROR(INDEX(Products!$C$2:$C$50,MATCH($E899,Products!$A$2:$A$50,0)),0))</f>
        <v/>
      </c>
      <c r="J899" s="41" t="str">
        <f aca="false">IF($A899="","",IFERROR(INDEX(Products!$D$2:$D$50,MATCH($E899,Products!$A$2:$A$50,0)),0))</f>
        <v/>
      </c>
      <c r="K899" s="41" t="str">
        <f aca="false">IF($A899="","",$F899*$I899*(1-$G899))</f>
        <v/>
      </c>
      <c r="L899" s="41" t="str">
        <f aca="false">IF($A899="","",$F899*$J899)</f>
        <v/>
      </c>
      <c r="M899" s="41" t="str">
        <f aca="false">IF($A899="","",$K899-$L899)</f>
        <v/>
      </c>
    </row>
    <row r="900" customFormat="false" ht="15" hidden="false" customHeight="false" outlineLevel="0" collapsed="false">
      <c r="H900" s="8" t="str">
        <f aca="false">IF($A900="","",IFERROR(INDEX(Products!$B$2:$B$50,MATCH($E900,Products!$A$2:$A$50,0)),"Unmapped"))</f>
        <v/>
      </c>
      <c r="I900" s="41" t="str">
        <f aca="false">IF($A900="","",IFERROR(INDEX(Products!$C$2:$C$50,MATCH($E900,Products!$A$2:$A$50,0)),0))</f>
        <v/>
      </c>
      <c r="J900" s="41" t="str">
        <f aca="false">IF($A900="","",IFERROR(INDEX(Products!$D$2:$D$50,MATCH($E900,Products!$A$2:$A$50,0)),0))</f>
        <v/>
      </c>
      <c r="K900" s="41" t="str">
        <f aca="false">IF($A900="","",$F900*$I900*(1-$G900))</f>
        <v/>
      </c>
      <c r="L900" s="41" t="str">
        <f aca="false">IF($A900="","",$F900*$J900)</f>
        <v/>
      </c>
      <c r="M900" s="41" t="str">
        <f aca="false">IF($A900="","",$K900-$L900)</f>
        <v/>
      </c>
    </row>
    <row r="901" customFormat="false" ht="15" hidden="false" customHeight="false" outlineLevel="0" collapsed="false">
      <c r="H901" s="8" t="str">
        <f aca="false">IF($A901="","",IFERROR(INDEX(Products!$B$2:$B$50,MATCH($E901,Products!$A$2:$A$50,0)),"Unmapped"))</f>
        <v/>
      </c>
      <c r="I901" s="41" t="str">
        <f aca="false">IF($A901="","",IFERROR(INDEX(Products!$C$2:$C$50,MATCH($E901,Products!$A$2:$A$50,0)),0))</f>
        <v/>
      </c>
      <c r="J901" s="41" t="str">
        <f aca="false">IF($A901="","",IFERROR(INDEX(Products!$D$2:$D$50,MATCH($E901,Products!$A$2:$A$50,0)),0))</f>
        <v/>
      </c>
      <c r="K901" s="41" t="str">
        <f aca="false">IF($A901="","",$F901*$I901*(1-$G901))</f>
        <v/>
      </c>
      <c r="L901" s="41" t="str">
        <f aca="false">IF($A901="","",$F901*$J901)</f>
        <v/>
      </c>
      <c r="M901" s="41" t="str">
        <f aca="false">IF($A901="","",$K901-$L901)</f>
        <v/>
      </c>
    </row>
    <row r="902" customFormat="false" ht="15" hidden="false" customHeight="false" outlineLevel="0" collapsed="false">
      <c r="H902" s="8" t="str">
        <f aca="false">IF($A902="","",IFERROR(INDEX(Products!$B$2:$B$50,MATCH($E902,Products!$A$2:$A$50,0)),"Unmapped"))</f>
        <v/>
      </c>
      <c r="I902" s="41" t="str">
        <f aca="false">IF($A902="","",IFERROR(INDEX(Products!$C$2:$C$50,MATCH($E902,Products!$A$2:$A$50,0)),0))</f>
        <v/>
      </c>
      <c r="J902" s="41" t="str">
        <f aca="false">IF($A902="","",IFERROR(INDEX(Products!$D$2:$D$50,MATCH($E902,Products!$A$2:$A$50,0)),0))</f>
        <v/>
      </c>
      <c r="K902" s="41" t="str">
        <f aca="false">IF($A902="","",$F902*$I902*(1-$G902))</f>
        <v/>
      </c>
      <c r="L902" s="41" t="str">
        <f aca="false">IF($A902="","",$F902*$J902)</f>
        <v/>
      </c>
      <c r="M902" s="41" t="str">
        <f aca="false">IF($A902="","",$K902-$L902)</f>
        <v/>
      </c>
    </row>
    <row r="903" customFormat="false" ht="15" hidden="false" customHeight="false" outlineLevel="0" collapsed="false">
      <c r="H903" s="8" t="str">
        <f aca="false">IF($A903="","",IFERROR(INDEX(Products!$B$2:$B$50,MATCH($E903,Products!$A$2:$A$50,0)),"Unmapped"))</f>
        <v/>
      </c>
      <c r="I903" s="41" t="str">
        <f aca="false">IF($A903="","",IFERROR(INDEX(Products!$C$2:$C$50,MATCH($E903,Products!$A$2:$A$50,0)),0))</f>
        <v/>
      </c>
      <c r="J903" s="41" t="str">
        <f aca="false">IF($A903="","",IFERROR(INDEX(Products!$D$2:$D$50,MATCH($E903,Products!$A$2:$A$50,0)),0))</f>
        <v/>
      </c>
      <c r="K903" s="41" t="str">
        <f aca="false">IF($A903="","",$F903*$I903*(1-$G903))</f>
        <v/>
      </c>
      <c r="L903" s="41" t="str">
        <f aca="false">IF($A903="","",$F903*$J903)</f>
        <v/>
      </c>
      <c r="M903" s="41" t="str">
        <f aca="false">IF($A903="","",$K903-$L903)</f>
        <v/>
      </c>
    </row>
    <row r="904" customFormat="false" ht="15" hidden="false" customHeight="false" outlineLevel="0" collapsed="false">
      <c r="H904" s="8" t="str">
        <f aca="false">IF($A904="","",IFERROR(INDEX(Products!$B$2:$B$50,MATCH($E904,Products!$A$2:$A$50,0)),"Unmapped"))</f>
        <v/>
      </c>
      <c r="I904" s="41" t="str">
        <f aca="false">IF($A904="","",IFERROR(INDEX(Products!$C$2:$C$50,MATCH($E904,Products!$A$2:$A$50,0)),0))</f>
        <v/>
      </c>
      <c r="J904" s="41" t="str">
        <f aca="false">IF($A904="","",IFERROR(INDEX(Products!$D$2:$D$50,MATCH($E904,Products!$A$2:$A$50,0)),0))</f>
        <v/>
      </c>
      <c r="K904" s="41" t="str">
        <f aca="false">IF($A904="","",$F904*$I904*(1-$G904))</f>
        <v/>
      </c>
      <c r="L904" s="41" t="str">
        <f aca="false">IF($A904="","",$F904*$J904)</f>
        <v/>
      </c>
      <c r="M904" s="41" t="str">
        <f aca="false">IF($A904="","",$K904-$L904)</f>
        <v/>
      </c>
    </row>
    <row r="905" customFormat="false" ht="15" hidden="false" customHeight="false" outlineLevel="0" collapsed="false">
      <c r="H905" s="8" t="str">
        <f aca="false">IF($A905="","",IFERROR(INDEX(Products!$B$2:$B$50,MATCH($E905,Products!$A$2:$A$50,0)),"Unmapped"))</f>
        <v/>
      </c>
      <c r="I905" s="41" t="str">
        <f aca="false">IF($A905="","",IFERROR(INDEX(Products!$C$2:$C$50,MATCH($E905,Products!$A$2:$A$50,0)),0))</f>
        <v/>
      </c>
      <c r="J905" s="41" t="str">
        <f aca="false">IF($A905="","",IFERROR(INDEX(Products!$D$2:$D$50,MATCH($E905,Products!$A$2:$A$50,0)),0))</f>
        <v/>
      </c>
      <c r="K905" s="41" t="str">
        <f aca="false">IF($A905="","",$F905*$I905*(1-$G905))</f>
        <v/>
      </c>
      <c r="L905" s="41" t="str">
        <f aca="false">IF($A905="","",$F905*$J905)</f>
        <v/>
      </c>
      <c r="M905" s="41" t="str">
        <f aca="false">IF($A905="","",$K905-$L905)</f>
        <v/>
      </c>
    </row>
    <row r="906" customFormat="false" ht="15" hidden="false" customHeight="false" outlineLevel="0" collapsed="false">
      <c r="H906" s="8" t="str">
        <f aca="false">IF($A906="","",IFERROR(INDEX(Products!$B$2:$B$50,MATCH($E906,Products!$A$2:$A$50,0)),"Unmapped"))</f>
        <v/>
      </c>
      <c r="I906" s="41" t="str">
        <f aca="false">IF($A906="","",IFERROR(INDEX(Products!$C$2:$C$50,MATCH($E906,Products!$A$2:$A$50,0)),0))</f>
        <v/>
      </c>
      <c r="J906" s="41" t="str">
        <f aca="false">IF($A906="","",IFERROR(INDEX(Products!$D$2:$D$50,MATCH($E906,Products!$A$2:$A$50,0)),0))</f>
        <v/>
      </c>
      <c r="K906" s="41" t="str">
        <f aca="false">IF($A906="","",$F906*$I906*(1-$G906))</f>
        <v/>
      </c>
      <c r="L906" s="41" t="str">
        <f aca="false">IF($A906="","",$F906*$J906)</f>
        <v/>
      </c>
      <c r="M906" s="41" t="str">
        <f aca="false">IF($A906="","",$K906-$L906)</f>
        <v/>
      </c>
    </row>
    <row r="907" customFormat="false" ht="15" hidden="false" customHeight="false" outlineLevel="0" collapsed="false">
      <c r="H907" s="8" t="str">
        <f aca="false">IF($A907="","",IFERROR(INDEX(Products!$B$2:$B$50,MATCH($E907,Products!$A$2:$A$50,0)),"Unmapped"))</f>
        <v/>
      </c>
      <c r="I907" s="41" t="str">
        <f aca="false">IF($A907="","",IFERROR(INDEX(Products!$C$2:$C$50,MATCH($E907,Products!$A$2:$A$50,0)),0))</f>
        <v/>
      </c>
      <c r="J907" s="41" t="str">
        <f aca="false">IF($A907="","",IFERROR(INDEX(Products!$D$2:$D$50,MATCH($E907,Products!$A$2:$A$50,0)),0))</f>
        <v/>
      </c>
      <c r="K907" s="41" t="str">
        <f aca="false">IF($A907="","",$F907*$I907*(1-$G907))</f>
        <v/>
      </c>
      <c r="L907" s="41" t="str">
        <f aca="false">IF($A907="","",$F907*$J907)</f>
        <v/>
      </c>
      <c r="M907" s="41" t="str">
        <f aca="false">IF($A907="","",$K907-$L907)</f>
        <v/>
      </c>
    </row>
    <row r="908" customFormat="false" ht="15" hidden="false" customHeight="false" outlineLevel="0" collapsed="false">
      <c r="H908" s="8" t="str">
        <f aca="false">IF($A908="","",IFERROR(INDEX(Products!$B$2:$B$50,MATCH($E908,Products!$A$2:$A$50,0)),"Unmapped"))</f>
        <v/>
      </c>
      <c r="I908" s="41" t="str">
        <f aca="false">IF($A908="","",IFERROR(INDEX(Products!$C$2:$C$50,MATCH($E908,Products!$A$2:$A$50,0)),0))</f>
        <v/>
      </c>
      <c r="J908" s="41" t="str">
        <f aca="false">IF($A908="","",IFERROR(INDEX(Products!$D$2:$D$50,MATCH($E908,Products!$A$2:$A$50,0)),0))</f>
        <v/>
      </c>
      <c r="K908" s="41" t="str">
        <f aca="false">IF($A908="","",$F908*$I908*(1-$G908))</f>
        <v/>
      </c>
      <c r="L908" s="41" t="str">
        <f aca="false">IF($A908="","",$F908*$J908)</f>
        <v/>
      </c>
      <c r="M908" s="41" t="str">
        <f aca="false">IF($A908="","",$K908-$L908)</f>
        <v/>
      </c>
    </row>
    <row r="909" customFormat="false" ht="15" hidden="false" customHeight="false" outlineLevel="0" collapsed="false">
      <c r="H909" s="8" t="str">
        <f aca="false">IF($A909="","",IFERROR(INDEX(Products!$B$2:$B$50,MATCH($E909,Products!$A$2:$A$50,0)),"Unmapped"))</f>
        <v/>
      </c>
      <c r="I909" s="41" t="str">
        <f aca="false">IF($A909="","",IFERROR(INDEX(Products!$C$2:$C$50,MATCH($E909,Products!$A$2:$A$50,0)),0))</f>
        <v/>
      </c>
      <c r="J909" s="41" t="str">
        <f aca="false">IF($A909="","",IFERROR(INDEX(Products!$D$2:$D$50,MATCH($E909,Products!$A$2:$A$50,0)),0))</f>
        <v/>
      </c>
      <c r="K909" s="41" t="str">
        <f aca="false">IF($A909="","",$F909*$I909*(1-$G909))</f>
        <v/>
      </c>
      <c r="L909" s="41" t="str">
        <f aca="false">IF($A909="","",$F909*$J909)</f>
        <v/>
      </c>
      <c r="M909" s="41" t="str">
        <f aca="false">IF($A909="","",$K909-$L909)</f>
        <v/>
      </c>
    </row>
    <row r="910" customFormat="false" ht="15" hidden="false" customHeight="false" outlineLevel="0" collapsed="false">
      <c r="H910" s="8" t="str">
        <f aca="false">IF($A910="","",IFERROR(INDEX(Products!$B$2:$B$50,MATCH($E910,Products!$A$2:$A$50,0)),"Unmapped"))</f>
        <v/>
      </c>
      <c r="I910" s="41" t="str">
        <f aca="false">IF($A910="","",IFERROR(INDEX(Products!$C$2:$C$50,MATCH($E910,Products!$A$2:$A$50,0)),0))</f>
        <v/>
      </c>
      <c r="J910" s="41" t="str">
        <f aca="false">IF($A910="","",IFERROR(INDEX(Products!$D$2:$D$50,MATCH($E910,Products!$A$2:$A$50,0)),0))</f>
        <v/>
      </c>
      <c r="K910" s="41" t="str">
        <f aca="false">IF($A910="","",$F910*$I910*(1-$G910))</f>
        <v/>
      </c>
      <c r="L910" s="41" t="str">
        <f aca="false">IF($A910="","",$F910*$J910)</f>
        <v/>
      </c>
      <c r="M910" s="41" t="str">
        <f aca="false">IF($A910="","",$K910-$L910)</f>
        <v/>
      </c>
    </row>
    <row r="911" customFormat="false" ht="15" hidden="false" customHeight="false" outlineLevel="0" collapsed="false">
      <c r="H911" s="8" t="str">
        <f aca="false">IF($A911="","",IFERROR(INDEX(Products!$B$2:$B$50,MATCH($E911,Products!$A$2:$A$50,0)),"Unmapped"))</f>
        <v/>
      </c>
      <c r="I911" s="41" t="str">
        <f aca="false">IF($A911="","",IFERROR(INDEX(Products!$C$2:$C$50,MATCH($E911,Products!$A$2:$A$50,0)),0))</f>
        <v/>
      </c>
      <c r="J911" s="41" t="str">
        <f aca="false">IF($A911="","",IFERROR(INDEX(Products!$D$2:$D$50,MATCH($E911,Products!$A$2:$A$50,0)),0))</f>
        <v/>
      </c>
      <c r="K911" s="41" t="str">
        <f aca="false">IF($A911="","",$F911*$I911*(1-$G911))</f>
        <v/>
      </c>
      <c r="L911" s="41" t="str">
        <f aca="false">IF($A911="","",$F911*$J911)</f>
        <v/>
      </c>
      <c r="M911" s="41" t="str">
        <f aca="false">IF($A911="","",$K911-$L911)</f>
        <v/>
      </c>
    </row>
    <row r="912" customFormat="false" ht="15" hidden="false" customHeight="false" outlineLevel="0" collapsed="false">
      <c r="H912" s="8" t="str">
        <f aca="false">IF($A912="","",IFERROR(INDEX(Products!$B$2:$B$50,MATCH($E912,Products!$A$2:$A$50,0)),"Unmapped"))</f>
        <v/>
      </c>
      <c r="I912" s="41" t="str">
        <f aca="false">IF($A912="","",IFERROR(INDEX(Products!$C$2:$C$50,MATCH($E912,Products!$A$2:$A$50,0)),0))</f>
        <v/>
      </c>
      <c r="J912" s="41" t="str">
        <f aca="false">IF($A912="","",IFERROR(INDEX(Products!$D$2:$D$50,MATCH($E912,Products!$A$2:$A$50,0)),0))</f>
        <v/>
      </c>
      <c r="K912" s="41" t="str">
        <f aca="false">IF($A912="","",$F912*$I912*(1-$G912))</f>
        <v/>
      </c>
      <c r="L912" s="41" t="str">
        <f aca="false">IF($A912="","",$F912*$J912)</f>
        <v/>
      </c>
      <c r="M912" s="41" t="str">
        <f aca="false">IF($A912="","",$K912-$L912)</f>
        <v/>
      </c>
    </row>
    <row r="913" customFormat="false" ht="15" hidden="false" customHeight="false" outlineLevel="0" collapsed="false">
      <c r="H913" s="8" t="str">
        <f aca="false">IF($A913="","",IFERROR(INDEX(Products!$B$2:$B$50,MATCH($E913,Products!$A$2:$A$50,0)),"Unmapped"))</f>
        <v/>
      </c>
      <c r="I913" s="41" t="str">
        <f aca="false">IF($A913="","",IFERROR(INDEX(Products!$C$2:$C$50,MATCH($E913,Products!$A$2:$A$50,0)),0))</f>
        <v/>
      </c>
      <c r="J913" s="41" t="str">
        <f aca="false">IF($A913="","",IFERROR(INDEX(Products!$D$2:$D$50,MATCH($E913,Products!$A$2:$A$50,0)),0))</f>
        <v/>
      </c>
      <c r="K913" s="41" t="str">
        <f aca="false">IF($A913="","",$F913*$I913*(1-$G913))</f>
        <v/>
      </c>
      <c r="L913" s="41" t="str">
        <f aca="false">IF($A913="","",$F913*$J913)</f>
        <v/>
      </c>
      <c r="M913" s="41" t="str">
        <f aca="false">IF($A913="","",$K913-$L913)</f>
        <v/>
      </c>
    </row>
    <row r="914" customFormat="false" ht="15" hidden="false" customHeight="false" outlineLevel="0" collapsed="false">
      <c r="H914" s="8" t="str">
        <f aca="false">IF($A914="","",IFERROR(INDEX(Products!$B$2:$B$50,MATCH($E914,Products!$A$2:$A$50,0)),"Unmapped"))</f>
        <v/>
      </c>
      <c r="I914" s="41" t="str">
        <f aca="false">IF($A914="","",IFERROR(INDEX(Products!$C$2:$C$50,MATCH($E914,Products!$A$2:$A$50,0)),0))</f>
        <v/>
      </c>
      <c r="J914" s="41" t="str">
        <f aca="false">IF($A914="","",IFERROR(INDEX(Products!$D$2:$D$50,MATCH($E914,Products!$A$2:$A$50,0)),0))</f>
        <v/>
      </c>
      <c r="K914" s="41" t="str">
        <f aca="false">IF($A914="","",$F914*$I914*(1-$G914))</f>
        <v/>
      </c>
      <c r="L914" s="41" t="str">
        <f aca="false">IF($A914="","",$F914*$J914)</f>
        <v/>
      </c>
      <c r="M914" s="41" t="str">
        <f aca="false">IF($A914="","",$K914-$L914)</f>
        <v/>
      </c>
    </row>
    <row r="915" customFormat="false" ht="15" hidden="false" customHeight="false" outlineLevel="0" collapsed="false">
      <c r="H915" s="8" t="str">
        <f aca="false">IF($A915="","",IFERROR(INDEX(Products!$B$2:$B$50,MATCH($E915,Products!$A$2:$A$50,0)),"Unmapped"))</f>
        <v/>
      </c>
      <c r="I915" s="41" t="str">
        <f aca="false">IF($A915="","",IFERROR(INDEX(Products!$C$2:$C$50,MATCH($E915,Products!$A$2:$A$50,0)),0))</f>
        <v/>
      </c>
      <c r="J915" s="41" t="str">
        <f aca="false">IF($A915="","",IFERROR(INDEX(Products!$D$2:$D$50,MATCH($E915,Products!$A$2:$A$50,0)),0))</f>
        <v/>
      </c>
      <c r="K915" s="41" t="str">
        <f aca="false">IF($A915="","",$F915*$I915*(1-$G915))</f>
        <v/>
      </c>
      <c r="L915" s="41" t="str">
        <f aca="false">IF($A915="","",$F915*$J915)</f>
        <v/>
      </c>
      <c r="M915" s="41" t="str">
        <f aca="false">IF($A915="","",$K915-$L915)</f>
        <v/>
      </c>
    </row>
    <row r="916" customFormat="false" ht="15" hidden="false" customHeight="false" outlineLevel="0" collapsed="false">
      <c r="H916" s="8" t="str">
        <f aca="false">IF($A916="","",IFERROR(INDEX(Products!$B$2:$B$50,MATCH($E916,Products!$A$2:$A$50,0)),"Unmapped"))</f>
        <v/>
      </c>
      <c r="I916" s="41" t="str">
        <f aca="false">IF($A916="","",IFERROR(INDEX(Products!$C$2:$C$50,MATCH($E916,Products!$A$2:$A$50,0)),0))</f>
        <v/>
      </c>
      <c r="J916" s="41" t="str">
        <f aca="false">IF($A916="","",IFERROR(INDEX(Products!$D$2:$D$50,MATCH($E916,Products!$A$2:$A$50,0)),0))</f>
        <v/>
      </c>
      <c r="K916" s="41" t="str">
        <f aca="false">IF($A916="","",$F916*$I916*(1-$G916))</f>
        <v/>
      </c>
      <c r="L916" s="41" t="str">
        <f aca="false">IF($A916="","",$F916*$J916)</f>
        <v/>
      </c>
      <c r="M916" s="41" t="str">
        <f aca="false">IF($A916="","",$K916-$L916)</f>
        <v/>
      </c>
    </row>
    <row r="917" customFormat="false" ht="15" hidden="false" customHeight="false" outlineLevel="0" collapsed="false">
      <c r="H917" s="8" t="str">
        <f aca="false">IF($A917="","",IFERROR(INDEX(Products!$B$2:$B$50,MATCH($E917,Products!$A$2:$A$50,0)),"Unmapped"))</f>
        <v/>
      </c>
      <c r="I917" s="41" t="str">
        <f aca="false">IF($A917="","",IFERROR(INDEX(Products!$C$2:$C$50,MATCH($E917,Products!$A$2:$A$50,0)),0))</f>
        <v/>
      </c>
      <c r="J917" s="41" t="str">
        <f aca="false">IF($A917="","",IFERROR(INDEX(Products!$D$2:$D$50,MATCH($E917,Products!$A$2:$A$50,0)),0))</f>
        <v/>
      </c>
      <c r="K917" s="41" t="str">
        <f aca="false">IF($A917="","",$F917*$I917*(1-$G917))</f>
        <v/>
      </c>
      <c r="L917" s="41" t="str">
        <f aca="false">IF($A917="","",$F917*$J917)</f>
        <v/>
      </c>
      <c r="M917" s="41" t="str">
        <f aca="false">IF($A917="","",$K917-$L917)</f>
        <v/>
      </c>
    </row>
    <row r="918" customFormat="false" ht="15" hidden="false" customHeight="false" outlineLevel="0" collapsed="false">
      <c r="H918" s="8" t="str">
        <f aca="false">IF($A918="","",IFERROR(INDEX(Products!$B$2:$B$50,MATCH($E918,Products!$A$2:$A$50,0)),"Unmapped"))</f>
        <v/>
      </c>
      <c r="I918" s="41" t="str">
        <f aca="false">IF($A918="","",IFERROR(INDEX(Products!$C$2:$C$50,MATCH($E918,Products!$A$2:$A$50,0)),0))</f>
        <v/>
      </c>
      <c r="J918" s="41" t="str">
        <f aca="false">IF($A918="","",IFERROR(INDEX(Products!$D$2:$D$50,MATCH($E918,Products!$A$2:$A$50,0)),0))</f>
        <v/>
      </c>
      <c r="K918" s="41" t="str">
        <f aca="false">IF($A918="","",$F918*$I918*(1-$G918))</f>
        <v/>
      </c>
      <c r="L918" s="41" t="str">
        <f aca="false">IF($A918="","",$F918*$J918)</f>
        <v/>
      </c>
      <c r="M918" s="41" t="str">
        <f aca="false">IF($A918="","",$K918-$L918)</f>
        <v/>
      </c>
    </row>
    <row r="919" customFormat="false" ht="15" hidden="false" customHeight="false" outlineLevel="0" collapsed="false">
      <c r="H919" s="8" t="str">
        <f aca="false">IF($A919="","",IFERROR(INDEX(Products!$B$2:$B$50,MATCH($E919,Products!$A$2:$A$50,0)),"Unmapped"))</f>
        <v/>
      </c>
      <c r="I919" s="41" t="str">
        <f aca="false">IF($A919="","",IFERROR(INDEX(Products!$C$2:$C$50,MATCH($E919,Products!$A$2:$A$50,0)),0))</f>
        <v/>
      </c>
      <c r="J919" s="41" t="str">
        <f aca="false">IF($A919="","",IFERROR(INDEX(Products!$D$2:$D$50,MATCH($E919,Products!$A$2:$A$50,0)),0))</f>
        <v/>
      </c>
      <c r="K919" s="41" t="str">
        <f aca="false">IF($A919="","",$F919*$I919*(1-$G919))</f>
        <v/>
      </c>
      <c r="L919" s="41" t="str">
        <f aca="false">IF($A919="","",$F919*$J919)</f>
        <v/>
      </c>
      <c r="M919" s="41" t="str">
        <f aca="false">IF($A919="","",$K919-$L919)</f>
        <v/>
      </c>
    </row>
    <row r="920" customFormat="false" ht="15" hidden="false" customHeight="false" outlineLevel="0" collapsed="false">
      <c r="H920" s="8" t="str">
        <f aca="false">IF($A920="","",IFERROR(INDEX(Products!$B$2:$B$50,MATCH($E920,Products!$A$2:$A$50,0)),"Unmapped"))</f>
        <v/>
      </c>
      <c r="I920" s="41" t="str">
        <f aca="false">IF($A920="","",IFERROR(INDEX(Products!$C$2:$C$50,MATCH($E920,Products!$A$2:$A$50,0)),0))</f>
        <v/>
      </c>
      <c r="J920" s="41" t="str">
        <f aca="false">IF($A920="","",IFERROR(INDEX(Products!$D$2:$D$50,MATCH($E920,Products!$A$2:$A$50,0)),0))</f>
        <v/>
      </c>
      <c r="K920" s="41" t="str">
        <f aca="false">IF($A920="","",$F920*$I920*(1-$G920))</f>
        <v/>
      </c>
      <c r="L920" s="41" t="str">
        <f aca="false">IF($A920="","",$F920*$J920)</f>
        <v/>
      </c>
      <c r="M920" s="41" t="str">
        <f aca="false">IF($A920="","",$K920-$L920)</f>
        <v/>
      </c>
    </row>
    <row r="921" customFormat="false" ht="15" hidden="false" customHeight="false" outlineLevel="0" collapsed="false">
      <c r="H921" s="8" t="str">
        <f aca="false">IF($A921="","",IFERROR(INDEX(Products!$B$2:$B$50,MATCH($E921,Products!$A$2:$A$50,0)),"Unmapped"))</f>
        <v/>
      </c>
      <c r="I921" s="41" t="str">
        <f aca="false">IF($A921="","",IFERROR(INDEX(Products!$C$2:$C$50,MATCH($E921,Products!$A$2:$A$50,0)),0))</f>
        <v/>
      </c>
      <c r="J921" s="41" t="str">
        <f aca="false">IF($A921="","",IFERROR(INDEX(Products!$D$2:$D$50,MATCH($E921,Products!$A$2:$A$50,0)),0))</f>
        <v/>
      </c>
      <c r="K921" s="41" t="str">
        <f aca="false">IF($A921="","",$F921*$I921*(1-$G921))</f>
        <v/>
      </c>
      <c r="L921" s="41" t="str">
        <f aca="false">IF($A921="","",$F921*$J921)</f>
        <v/>
      </c>
      <c r="M921" s="41" t="str">
        <f aca="false">IF($A921="","",$K921-$L921)</f>
        <v/>
      </c>
    </row>
    <row r="922" customFormat="false" ht="15" hidden="false" customHeight="false" outlineLevel="0" collapsed="false">
      <c r="H922" s="8" t="str">
        <f aca="false">IF($A922="","",IFERROR(INDEX(Products!$B$2:$B$50,MATCH($E922,Products!$A$2:$A$50,0)),"Unmapped"))</f>
        <v/>
      </c>
      <c r="I922" s="41" t="str">
        <f aca="false">IF($A922="","",IFERROR(INDEX(Products!$C$2:$C$50,MATCH($E922,Products!$A$2:$A$50,0)),0))</f>
        <v/>
      </c>
      <c r="J922" s="41" t="str">
        <f aca="false">IF($A922="","",IFERROR(INDEX(Products!$D$2:$D$50,MATCH($E922,Products!$A$2:$A$50,0)),0))</f>
        <v/>
      </c>
      <c r="K922" s="41" t="str">
        <f aca="false">IF($A922="","",$F922*$I922*(1-$G922))</f>
        <v/>
      </c>
      <c r="L922" s="41" t="str">
        <f aca="false">IF($A922="","",$F922*$J922)</f>
        <v/>
      </c>
      <c r="M922" s="41" t="str">
        <f aca="false">IF($A922="","",$K922-$L922)</f>
        <v/>
      </c>
    </row>
    <row r="923" customFormat="false" ht="15" hidden="false" customHeight="false" outlineLevel="0" collapsed="false">
      <c r="H923" s="8" t="str">
        <f aca="false">IF($A923="","",IFERROR(INDEX(Products!$B$2:$B$50,MATCH($E923,Products!$A$2:$A$50,0)),"Unmapped"))</f>
        <v/>
      </c>
      <c r="I923" s="41" t="str">
        <f aca="false">IF($A923="","",IFERROR(INDEX(Products!$C$2:$C$50,MATCH($E923,Products!$A$2:$A$50,0)),0))</f>
        <v/>
      </c>
      <c r="J923" s="41" t="str">
        <f aca="false">IF($A923="","",IFERROR(INDEX(Products!$D$2:$D$50,MATCH($E923,Products!$A$2:$A$50,0)),0))</f>
        <v/>
      </c>
      <c r="K923" s="41" t="str">
        <f aca="false">IF($A923="","",$F923*$I923*(1-$G923))</f>
        <v/>
      </c>
      <c r="L923" s="41" t="str">
        <f aca="false">IF($A923="","",$F923*$J923)</f>
        <v/>
      </c>
      <c r="M923" s="41" t="str">
        <f aca="false">IF($A923="","",$K923-$L923)</f>
        <v/>
      </c>
    </row>
    <row r="924" customFormat="false" ht="15" hidden="false" customHeight="false" outlineLevel="0" collapsed="false">
      <c r="H924" s="8" t="str">
        <f aca="false">IF($A924="","",IFERROR(INDEX(Products!$B$2:$B$50,MATCH($E924,Products!$A$2:$A$50,0)),"Unmapped"))</f>
        <v/>
      </c>
      <c r="I924" s="41" t="str">
        <f aca="false">IF($A924="","",IFERROR(INDEX(Products!$C$2:$C$50,MATCH($E924,Products!$A$2:$A$50,0)),0))</f>
        <v/>
      </c>
      <c r="J924" s="41" t="str">
        <f aca="false">IF($A924="","",IFERROR(INDEX(Products!$D$2:$D$50,MATCH($E924,Products!$A$2:$A$50,0)),0))</f>
        <v/>
      </c>
      <c r="K924" s="41" t="str">
        <f aca="false">IF($A924="","",$F924*$I924*(1-$G924))</f>
        <v/>
      </c>
      <c r="L924" s="41" t="str">
        <f aca="false">IF($A924="","",$F924*$J924)</f>
        <v/>
      </c>
      <c r="M924" s="41" t="str">
        <f aca="false">IF($A924="","",$K924-$L924)</f>
        <v/>
      </c>
    </row>
    <row r="925" customFormat="false" ht="15" hidden="false" customHeight="false" outlineLevel="0" collapsed="false">
      <c r="H925" s="8" t="str">
        <f aca="false">IF($A925="","",IFERROR(INDEX(Products!$B$2:$B$50,MATCH($E925,Products!$A$2:$A$50,0)),"Unmapped"))</f>
        <v/>
      </c>
      <c r="I925" s="41" t="str">
        <f aca="false">IF($A925="","",IFERROR(INDEX(Products!$C$2:$C$50,MATCH($E925,Products!$A$2:$A$50,0)),0))</f>
        <v/>
      </c>
      <c r="J925" s="41" t="str">
        <f aca="false">IF($A925="","",IFERROR(INDEX(Products!$D$2:$D$50,MATCH($E925,Products!$A$2:$A$50,0)),0))</f>
        <v/>
      </c>
      <c r="K925" s="41" t="str">
        <f aca="false">IF($A925="","",$F925*$I925*(1-$G925))</f>
        <v/>
      </c>
      <c r="L925" s="41" t="str">
        <f aca="false">IF($A925="","",$F925*$J925)</f>
        <v/>
      </c>
      <c r="M925" s="41" t="str">
        <f aca="false">IF($A925="","",$K925-$L925)</f>
        <v/>
      </c>
    </row>
    <row r="926" customFormat="false" ht="15" hidden="false" customHeight="false" outlineLevel="0" collapsed="false">
      <c r="H926" s="8" t="str">
        <f aca="false">IF($A926="","",IFERROR(INDEX(Products!$B$2:$B$50,MATCH($E926,Products!$A$2:$A$50,0)),"Unmapped"))</f>
        <v/>
      </c>
      <c r="I926" s="41" t="str">
        <f aca="false">IF($A926="","",IFERROR(INDEX(Products!$C$2:$C$50,MATCH($E926,Products!$A$2:$A$50,0)),0))</f>
        <v/>
      </c>
      <c r="J926" s="41" t="str">
        <f aca="false">IF($A926="","",IFERROR(INDEX(Products!$D$2:$D$50,MATCH($E926,Products!$A$2:$A$50,0)),0))</f>
        <v/>
      </c>
      <c r="K926" s="41" t="str">
        <f aca="false">IF($A926="","",$F926*$I926*(1-$G926))</f>
        <v/>
      </c>
      <c r="L926" s="41" t="str">
        <f aca="false">IF($A926="","",$F926*$J926)</f>
        <v/>
      </c>
      <c r="M926" s="41" t="str">
        <f aca="false">IF($A926="","",$K926-$L926)</f>
        <v/>
      </c>
    </row>
    <row r="927" customFormat="false" ht="15" hidden="false" customHeight="false" outlineLevel="0" collapsed="false">
      <c r="H927" s="8" t="str">
        <f aca="false">IF($A927="","",IFERROR(INDEX(Products!$B$2:$B$50,MATCH($E927,Products!$A$2:$A$50,0)),"Unmapped"))</f>
        <v/>
      </c>
      <c r="I927" s="41" t="str">
        <f aca="false">IF($A927="","",IFERROR(INDEX(Products!$C$2:$C$50,MATCH($E927,Products!$A$2:$A$50,0)),0))</f>
        <v/>
      </c>
      <c r="J927" s="41" t="str">
        <f aca="false">IF($A927="","",IFERROR(INDEX(Products!$D$2:$D$50,MATCH($E927,Products!$A$2:$A$50,0)),0))</f>
        <v/>
      </c>
      <c r="K927" s="41" t="str">
        <f aca="false">IF($A927="","",$F927*$I927*(1-$G927))</f>
        <v/>
      </c>
      <c r="L927" s="41" t="str">
        <f aca="false">IF($A927="","",$F927*$J927)</f>
        <v/>
      </c>
      <c r="M927" s="41" t="str">
        <f aca="false">IF($A927="","",$K927-$L927)</f>
        <v/>
      </c>
    </row>
    <row r="928" customFormat="false" ht="15" hidden="false" customHeight="false" outlineLevel="0" collapsed="false">
      <c r="H928" s="8" t="str">
        <f aca="false">IF($A928="","",IFERROR(INDEX(Products!$B$2:$B$50,MATCH($E928,Products!$A$2:$A$50,0)),"Unmapped"))</f>
        <v/>
      </c>
      <c r="I928" s="41" t="str">
        <f aca="false">IF($A928="","",IFERROR(INDEX(Products!$C$2:$C$50,MATCH($E928,Products!$A$2:$A$50,0)),0))</f>
        <v/>
      </c>
      <c r="J928" s="41" t="str">
        <f aca="false">IF($A928="","",IFERROR(INDEX(Products!$D$2:$D$50,MATCH($E928,Products!$A$2:$A$50,0)),0))</f>
        <v/>
      </c>
      <c r="K928" s="41" t="str">
        <f aca="false">IF($A928="","",$F928*$I928*(1-$G928))</f>
        <v/>
      </c>
      <c r="L928" s="41" t="str">
        <f aca="false">IF($A928="","",$F928*$J928)</f>
        <v/>
      </c>
      <c r="M928" s="41" t="str">
        <f aca="false">IF($A928="","",$K928-$L928)</f>
        <v/>
      </c>
    </row>
    <row r="929" customFormat="false" ht="15" hidden="false" customHeight="false" outlineLevel="0" collapsed="false">
      <c r="H929" s="8" t="str">
        <f aca="false">IF($A929="","",IFERROR(INDEX(Products!$B$2:$B$50,MATCH($E929,Products!$A$2:$A$50,0)),"Unmapped"))</f>
        <v/>
      </c>
      <c r="I929" s="41" t="str">
        <f aca="false">IF($A929="","",IFERROR(INDEX(Products!$C$2:$C$50,MATCH($E929,Products!$A$2:$A$50,0)),0))</f>
        <v/>
      </c>
      <c r="J929" s="41" t="str">
        <f aca="false">IF($A929="","",IFERROR(INDEX(Products!$D$2:$D$50,MATCH($E929,Products!$A$2:$A$50,0)),0))</f>
        <v/>
      </c>
      <c r="K929" s="41" t="str">
        <f aca="false">IF($A929="","",$F929*$I929*(1-$G929))</f>
        <v/>
      </c>
      <c r="L929" s="41" t="str">
        <f aca="false">IF($A929="","",$F929*$J929)</f>
        <v/>
      </c>
      <c r="M929" s="41" t="str">
        <f aca="false">IF($A929="","",$K929-$L929)</f>
        <v/>
      </c>
    </row>
    <row r="930" customFormat="false" ht="15" hidden="false" customHeight="false" outlineLevel="0" collapsed="false">
      <c r="H930" s="8" t="str">
        <f aca="false">IF($A930="","",IFERROR(INDEX(Products!$B$2:$B$50,MATCH($E930,Products!$A$2:$A$50,0)),"Unmapped"))</f>
        <v/>
      </c>
      <c r="I930" s="41" t="str">
        <f aca="false">IF($A930="","",IFERROR(INDEX(Products!$C$2:$C$50,MATCH($E930,Products!$A$2:$A$50,0)),0))</f>
        <v/>
      </c>
      <c r="J930" s="41" t="str">
        <f aca="false">IF($A930="","",IFERROR(INDEX(Products!$D$2:$D$50,MATCH($E930,Products!$A$2:$A$50,0)),0))</f>
        <v/>
      </c>
      <c r="K930" s="41" t="str">
        <f aca="false">IF($A930="","",$F930*$I930*(1-$G930))</f>
        <v/>
      </c>
      <c r="L930" s="41" t="str">
        <f aca="false">IF($A930="","",$F930*$J930)</f>
        <v/>
      </c>
      <c r="M930" s="41" t="str">
        <f aca="false">IF($A930="","",$K930-$L930)</f>
        <v/>
      </c>
    </row>
    <row r="931" customFormat="false" ht="15" hidden="false" customHeight="false" outlineLevel="0" collapsed="false">
      <c r="H931" s="8" t="str">
        <f aca="false">IF($A931="","",IFERROR(INDEX(Products!$B$2:$B$50,MATCH($E931,Products!$A$2:$A$50,0)),"Unmapped"))</f>
        <v/>
      </c>
      <c r="I931" s="41" t="str">
        <f aca="false">IF($A931="","",IFERROR(INDEX(Products!$C$2:$C$50,MATCH($E931,Products!$A$2:$A$50,0)),0))</f>
        <v/>
      </c>
      <c r="J931" s="41" t="str">
        <f aca="false">IF($A931="","",IFERROR(INDEX(Products!$D$2:$D$50,MATCH($E931,Products!$A$2:$A$50,0)),0))</f>
        <v/>
      </c>
      <c r="K931" s="41" t="str">
        <f aca="false">IF($A931="","",$F931*$I931*(1-$G931))</f>
        <v/>
      </c>
      <c r="L931" s="41" t="str">
        <f aca="false">IF($A931="","",$F931*$J931)</f>
        <v/>
      </c>
      <c r="M931" s="41" t="str">
        <f aca="false">IF($A931="","",$K931-$L931)</f>
        <v/>
      </c>
    </row>
    <row r="932" customFormat="false" ht="15" hidden="false" customHeight="false" outlineLevel="0" collapsed="false">
      <c r="H932" s="8" t="str">
        <f aca="false">IF($A932="","",IFERROR(INDEX(Products!$B$2:$B$50,MATCH($E932,Products!$A$2:$A$50,0)),"Unmapped"))</f>
        <v/>
      </c>
      <c r="I932" s="41" t="str">
        <f aca="false">IF($A932="","",IFERROR(INDEX(Products!$C$2:$C$50,MATCH($E932,Products!$A$2:$A$50,0)),0))</f>
        <v/>
      </c>
      <c r="J932" s="41" t="str">
        <f aca="false">IF($A932="","",IFERROR(INDEX(Products!$D$2:$D$50,MATCH($E932,Products!$A$2:$A$50,0)),0))</f>
        <v/>
      </c>
      <c r="K932" s="41" t="str">
        <f aca="false">IF($A932="","",$F932*$I932*(1-$G932))</f>
        <v/>
      </c>
      <c r="L932" s="41" t="str">
        <f aca="false">IF($A932="","",$F932*$J932)</f>
        <v/>
      </c>
      <c r="M932" s="41" t="str">
        <f aca="false">IF($A932="","",$K932-$L932)</f>
        <v/>
      </c>
    </row>
    <row r="933" customFormat="false" ht="15" hidden="false" customHeight="false" outlineLevel="0" collapsed="false">
      <c r="H933" s="8" t="str">
        <f aca="false">IF($A933="","",IFERROR(INDEX(Products!$B$2:$B$50,MATCH($E933,Products!$A$2:$A$50,0)),"Unmapped"))</f>
        <v/>
      </c>
      <c r="I933" s="41" t="str">
        <f aca="false">IF($A933="","",IFERROR(INDEX(Products!$C$2:$C$50,MATCH($E933,Products!$A$2:$A$50,0)),0))</f>
        <v/>
      </c>
      <c r="J933" s="41" t="str">
        <f aca="false">IF($A933="","",IFERROR(INDEX(Products!$D$2:$D$50,MATCH($E933,Products!$A$2:$A$50,0)),0))</f>
        <v/>
      </c>
      <c r="K933" s="41" t="str">
        <f aca="false">IF($A933="","",$F933*$I933*(1-$G933))</f>
        <v/>
      </c>
      <c r="L933" s="41" t="str">
        <f aca="false">IF($A933="","",$F933*$J933)</f>
        <v/>
      </c>
      <c r="M933" s="41" t="str">
        <f aca="false">IF($A933="","",$K933-$L933)</f>
        <v/>
      </c>
    </row>
    <row r="934" customFormat="false" ht="15" hidden="false" customHeight="false" outlineLevel="0" collapsed="false">
      <c r="H934" s="8" t="str">
        <f aca="false">IF($A934="","",IFERROR(INDEX(Products!$B$2:$B$50,MATCH($E934,Products!$A$2:$A$50,0)),"Unmapped"))</f>
        <v/>
      </c>
      <c r="I934" s="41" t="str">
        <f aca="false">IF($A934="","",IFERROR(INDEX(Products!$C$2:$C$50,MATCH($E934,Products!$A$2:$A$50,0)),0))</f>
        <v/>
      </c>
      <c r="J934" s="41" t="str">
        <f aca="false">IF($A934="","",IFERROR(INDEX(Products!$D$2:$D$50,MATCH($E934,Products!$A$2:$A$50,0)),0))</f>
        <v/>
      </c>
      <c r="K934" s="41" t="str">
        <f aca="false">IF($A934="","",$F934*$I934*(1-$G934))</f>
        <v/>
      </c>
      <c r="L934" s="41" t="str">
        <f aca="false">IF($A934="","",$F934*$J934)</f>
        <v/>
      </c>
      <c r="M934" s="41" t="str">
        <f aca="false">IF($A934="","",$K934-$L934)</f>
        <v/>
      </c>
    </row>
    <row r="935" customFormat="false" ht="15" hidden="false" customHeight="false" outlineLevel="0" collapsed="false">
      <c r="H935" s="8" t="str">
        <f aca="false">IF($A935="","",IFERROR(INDEX(Products!$B$2:$B$50,MATCH($E935,Products!$A$2:$A$50,0)),"Unmapped"))</f>
        <v/>
      </c>
      <c r="I935" s="41" t="str">
        <f aca="false">IF($A935="","",IFERROR(INDEX(Products!$C$2:$C$50,MATCH($E935,Products!$A$2:$A$50,0)),0))</f>
        <v/>
      </c>
      <c r="J935" s="41" t="str">
        <f aca="false">IF($A935="","",IFERROR(INDEX(Products!$D$2:$D$50,MATCH($E935,Products!$A$2:$A$50,0)),0))</f>
        <v/>
      </c>
      <c r="K935" s="41" t="str">
        <f aca="false">IF($A935="","",$F935*$I935*(1-$G935))</f>
        <v/>
      </c>
      <c r="L935" s="41" t="str">
        <f aca="false">IF($A935="","",$F935*$J935)</f>
        <v/>
      </c>
      <c r="M935" s="41" t="str">
        <f aca="false">IF($A935="","",$K935-$L935)</f>
        <v/>
      </c>
    </row>
    <row r="936" customFormat="false" ht="15" hidden="false" customHeight="false" outlineLevel="0" collapsed="false">
      <c r="H936" s="8" t="str">
        <f aca="false">IF($A936="","",IFERROR(INDEX(Products!$B$2:$B$50,MATCH($E936,Products!$A$2:$A$50,0)),"Unmapped"))</f>
        <v/>
      </c>
      <c r="I936" s="41" t="str">
        <f aca="false">IF($A936="","",IFERROR(INDEX(Products!$C$2:$C$50,MATCH($E936,Products!$A$2:$A$50,0)),0))</f>
        <v/>
      </c>
      <c r="J936" s="41" t="str">
        <f aca="false">IF($A936="","",IFERROR(INDEX(Products!$D$2:$D$50,MATCH($E936,Products!$A$2:$A$50,0)),0))</f>
        <v/>
      </c>
      <c r="K936" s="41" t="str">
        <f aca="false">IF($A936="","",$F936*$I936*(1-$G936))</f>
        <v/>
      </c>
      <c r="L936" s="41" t="str">
        <f aca="false">IF($A936="","",$F936*$J936)</f>
        <v/>
      </c>
      <c r="M936" s="41" t="str">
        <f aca="false">IF($A936="","",$K936-$L936)</f>
        <v/>
      </c>
    </row>
    <row r="937" customFormat="false" ht="15" hidden="false" customHeight="false" outlineLevel="0" collapsed="false">
      <c r="H937" s="8" t="str">
        <f aca="false">IF($A937="","",IFERROR(INDEX(Products!$B$2:$B$50,MATCH($E937,Products!$A$2:$A$50,0)),"Unmapped"))</f>
        <v/>
      </c>
      <c r="I937" s="41" t="str">
        <f aca="false">IF($A937="","",IFERROR(INDEX(Products!$C$2:$C$50,MATCH($E937,Products!$A$2:$A$50,0)),0))</f>
        <v/>
      </c>
      <c r="J937" s="41" t="str">
        <f aca="false">IF($A937="","",IFERROR(INDEX(Products!$D$2:$D$50,MATCH($E937,Products!$A$2:$A$50,0)),0))</f>
        <v/>
      </c>
      <c r="K937" s="41" t="str">
        <f aca="false">IF($A937="","",$F937*$I937*(1-$G937))</f>
        <v/>
      </c>
      <c r="L937" s="41" t="str">
        <f aca="false">IF($A937="","",$F937*$J937)</f>
        <v/>
      </c>
      <c r="M937" s="41" t="str">
        <f aca="false">IF($A937="","",$K937-$L937)</f>
        <v/>
      </c>
    </row>
    <row r="938" customFormat="false" ht="15" hidden="false" customHeight="false" outlineLevel="0" collapsed="false">
      <c r="H938" s="8" t="str">
        <f aca="false">IF($A938="","",IFERROR(INDEX(Products!$B$2:$B$50,MATCH($E938,Products!$A$2:$A$50,0)),"Unmapped"))</f>
        <v/>
      </c>
      <c r="I938" s="41" t="str">
        <f aca="false">IF($A938="","",IFERROR(INDEX(Products!$C$2:$C$50,MATCH($E938,Products!$A$2:$A$50,0)),0))</f>
        <v/>
      </c>
      <c r="J938" s="41" t="str">
        <f aca="false">IF($A938="","",IFERROR(INDEX(Products!$D$2:$D$50,MATCH($E938,Products!$A$2:$A$50,0)),0))</f>
        <v/>
      </c>
      <c r="K938" s="41" t="str">
        <f aca="false">IF($A938="","",$F938*$I938*(1-$G938))</f>
        <v/>
      </c>
      <c r="L938" s="41" t="str">
        <f aca="false">IF($A938="","",$F938*$J938)</f>
        <v/>
      </c>
      <c r="M938" s="41" t="str">
        <f aca="false">IF($A938="","",$K938-$L938)</f>
        <v/>
      </c>
    </row>
    <row r="939" customFormat="false" ht="15" hidden="false" customHeight="false" outlineLevel="0" collapsed="false">
      <c r="H939" s="8" t="str">
        <f aca="false">IF($A939="","",IFERROR(INDEX(Products!$B$2:$B$50,MATCH($E939,Products!$A$2:$A$50,0)),"Unmapped"))</f>
        <v/>
      </c>
      <c r="I939" s="41" t="str">
        <f aca="false">IF($A939="","",IFERROR(INDEX(Products!$C$2:$C$50,MATCH($E939,Products!$A$2:$A$50,0)),0))</f>
        <v/>
      </c>
      <c r="J939" s="41" t="str">
        <f aca="false">IF($A939="","",IFERROR(INDEX(Products!$D$2:$D$50,MATCH($E939,Products!$A$2:$A$50,0)),0))</f>
        <v/>
      </c>
      <c r="K939" s="41" t="str">
        <f aca="false">IF($A939="","",$F939*$I939*(1-$G939))</f>
        <v/>
      </c>
      <c r="L939" s="41" t="str">
        <f aca="false">IF($A939="","",$F939*$J939)</f>
        <v/>
      </c>
      <c r="M939" s="41" t="str">
        <f aca="false">IF($A939="","",$K939-$L939)</f>
        <v/>
      </c>
    </row>
    <row r="940" customFormat="false" ht="15" hidden="false" customHeight="false" outlineLevel="0" collapsed="false">
      <c r="H940" s="8" t="str">
        <f aca="false">IF($A940="","",IFERROR(INDEX(Products!$B$2:$B$50,MATCH($E940,Products!$A$2:$A$50,0)),"Unmapped"))</f>
        <v/>
      </c>
      <c r="I940" s="41" t="str">
        <f aca="false">IF($A940="","",IFERROR(INDEX(Products!$C$2:$C$50,MATCH($E940,Products!$A$2:$A$50,0)),0))</f>
        <v/>
      </c>
      <c r="J940" s="41" t="str">
        <f aca="false">IF($A940="","",IFERROR(INDEX(Products!$D$2:$D$50,MATCH($E940,Products!$A$2:$A$50,0)),0))</f>
        <v/>
      </c>
      <c r="K940" s="41" t="str">
        <f aca="false">IF($A940="","",$F940*$I940*(1-$G940))</f>
        <v/>
      </c>
      <c r="L940" s="41" t="str">
        <f aca="false">IF($A940="","",$F940*$J940)</f>
        <v/>
      </c>
      <c r="M940" s="41" t="str">
        <f aca="false">IF($A940="","",$K940-$L940)</f>
        <v/>
      </c>
    </row>
    <row r="941" customFormat="false" ht="15" hidden="false" customHeight="false" outlineLevel="0" collapsed="false">
      <c r="H941" s="8" t="str">
        <f aca="false">IF($A941="","",IFERROR(INDEX(Products!$B$2:$B$50,MATCH($E941,Products!$A$2:$A$50,0)),"Unmapped"))</f>
        <v/>
      </c>
      <c r="I941" s="41" t="str">
        <f aca="false">IF($A941="","",IFERROR(INDEX(Products!$C$2:$C$50,MATCH($E941,Products!$A$2:$A$50,0)),0))</f>
        <v/>
      </c>
      <c r="J941" s="41" t="str">
        <f aca="false">IF($A941="","",IFERROR(INDEX(Products!$D$2:$D$50,MATCH($E941,Products!$A$2:$A$50,0)),0))</f>
        <v/>
      </c>
      <c r="K941" s="41" t="str">
        <f aca="false">IF($A941="","",$F941*$I941*(1-$G941))</f>
        <v/>
      </c>
      <c r="L941" s="41" t="str">
        <f aca="false">IF($A941="","",$F941*$J941)</f>
        <v/>
      </c>
      <c r="M941" s="41" t="str">
        <f aca="false">IF($A941="","",$K941-$L941)</f>
        <v/>
      </c>
    </row>
    <row r="942" customFormat="false" ht="15" hidden="false" customHeight="false" outlineLevel="0" collapsed="false">
      <c r="H942" s="8" t="str">
        <f aca="false">IF($A942="","",IFERROR(INDEX(Products!$B$2:$B$50,MATCH($E942,Products!$A$2:$A$50,0)),"Unmapped"))</f>
        <v/>
      </c>
      <c r="I942" s="41" t="str">
        <f aca="false">IF($A942="","",IFERROR(INDEX(Products!$C$2:$C$50,MATCH($E942,Products!$A$2:$A$50,0)),0))</f>
        <v/>
      </c>
      <c r="J942" s="41" t="str">
        <f aca="false">IF($A942="","",IFERROR(INDEX(Products!$D$2:$D$50,MATCH($E942,Products!$A$2:$A$50,0)),0))</f>
        <v/>
      </c>
      <c r="K942" s="41" t="str">
        <f aca="false">IF($A942="","",$F942*$I942*(1-$G942))</f>
        <v/>
      </c>
      <c r="L942" s="41" t="str">
        <f aca="false">IF($A942="","",$F942*$J942)</f>
        <v/>
      </c>
      <c r="M942" s="41" t="str">
        <f aca="false">IF($A942="","",$K942-$L942)</f>
        <v/>
      </c>
    </row>
    <row r="943" customFormat="false" ht="15" hidden="false" customHeight="false" outlineLevel="0" collapsed="false">
      <c r="H943" s="8" t="str">
        <f aca="false">IF($A943="","",IFERROR(INDEX(Products!$B$2:$B$50,MATCH($E943,Products!$A$2:$A$50,0)),"Unmapped"))</f>
        <v/>
      </c>
      <c r="I943" s="41" t="str">
        <f aca="false">IF($A943="","",IFERROR(INDEX(Products!$C$2:$C$50,MATCH($E943,Products!$A$2:$A$50,0)),0))</f>
        <v/>
      </c>
      <c r="J943" s="41" t="str">
        <f aca="false">IF($A943="","",IFERROR(INDEX(Products!$D$2:$D$50,MATCH($E943,Products!$A$2:$A$50,0)),0))</f>
        <v/>
      </c>
      <c r="K943" s="41" t="str">
        <f aca="false">IF($A943="","",$F943*$I943*(1-$G943))</f>
        <v/>
      </c>
      <c r="L943" s="41" t="str">
        <f aca="false">IF($A943="","",$F943*$J943)</f>
        <v/>
      </c>
      <c r="M943" s="41" t="str">
        <f aca="false">IF($A943="","",$K943-$L943)</f>
        <v/>
      </c>
    </row>
    <row r="944" customFormat="false" ht="15" hidden="false" customHeight="false" outlineLevel="0" collapsed="false">
      <c r="H944" s="8" t="str">
        <f aca="false">IF($A944="","",IFERROR(INDEX(Products!$B$2:$B$50,MATCH($E944,Products!$A$2:$A$50,0)),"Unmapped"))</f>
        <v/>
      </c>
      <c r="I944" s="41" t="str">
        <f aca="false">IF($A944="","",IFERROR(INDEX(Products!$C$2:$C$50,MATCH($E944,Products!$A$2:$A$50,0)),0))</f>
        <v/>
      </c>
      <c r="J944" s="41" t="str">
        <f aca="false">IF($A944="","",IFERROR(INDEX(Products!$D$2:$D$50,MATCH($E944,Products!$A$2:$A$50,0)),0))</f>
        <v/>
      </c>
      <c r="K944" s="41" t="str">
        <f aca="false">IF($A944="","",$F944*$I944*(1-$G944))</f>
        <v/>
      </c>
      <c r="L944" s="41" t="str">
        <f aca="false">IF($A944="","",$F944*$J944)</f>
        <v/>
      </c>
      <c r="M944" s="41" t="str">
        <f aca="false">IF($A944="","",$K944-$L944)</f>
        <v/>
      </c>
    </row>
    <row r="945" customFormat="false" ht="15" hidden="false" customHeight="false" outlineLevel="0" collapsed="false">
      <c r="H945" s="8" t="str">
        <f aca="false">IF($A945="","",IFERROR(INDEX(Products!$B$2:$B$50,MATCH($E945,Products!$A$2:$A$50,0)),"Unmapped"))</f>
        <v/>
      </c>
      <c r="I945" s="41" t="str">
        <f aca="false">IF($A945="","",IFERROR(INDEX(Products!$C$2:$C$50,MATCH($E945,Products!$A$2:$A$50,0)),0))</f>
        <v/>
      </c>
      <c r="J945" s="41" t="str">
        <f aca="false">IF($A945="","",IFERROR(INDEX(Products!$D$2:$D$50,MATCH($E945,Products!$A$2:$A$50,0)),0))</f>
        <v/>
      </c>
      <c r="K945" s="41" t="str">
        <f aca="false">IF($A945="","",$F945*$I945*(1-$G945))</f>
        <v/>
      </c>
      <c r="L945" s="41" t="str">
        <f aca="false">IF($A945="","",$F945*$J945)</f>
        <v/>
      </c>
      <c r="M945" s="41" t="str">
        <f aca="false">IF($A945="","",$K945-$L945)</f>
        <v/>
      </c>
    </row>
    <row r="946" customFormat="false" ht="15" hidden="false" customHeight="false" outlineLevel="0" collapsed="false">
      <c r="H946" s="8" t="str">
        <f aca="false">IF($A946="","",IFERROR(INDEX(Products!$B$2:$B$50,MATCH($E946,Products!$A$2:$A$50,0)),"Unmapped"))</f>
        <v/>
      </c>
      <c r="I946" s="41" t="str">
        <f aca="false">IF($A946="","",IFERROR(INDEX(Products!$C$2:$C$50,MATCH($E946,Products!$A$2:$A$50,0)),0))</f>
        <v/>
      </c>
      <c r="J946" s="41" t="str">
        <f aca="false">IF($A946="","",IFERROR(INDEX(Products!$D$2:$D$50,MATCH($E946,Products!$A$2:$A$50,0)),0))</f>
        <v/>
      </c>
      <c r="K946" s="41" t="str">
        <f aca="false">IF($A946="","",$F946*$I946*(1-$G946))</f>
        <v/>
      </c>
      <c r="L946" s="41" t="str">
        <f aca="false">IF($A946="","",$F946*$J946)</f>
        <v/>
      </c>
      <c r="M946" s="41" t="str">
        <f aca="false">IF($A946="","",$K946-$L946)</f>
        <v/>
      </c>
    </row>
    <row r="947" customFormat="false" ht="15" hidden="false" customHeight="false" outlineLevel="0" collapsed="false">
      <c r="H947" s="8" t="str">
        <f aca="false">IF($A947="","",IFERROR(INDEX(Products!$B$2:$B$50,MATCH($E947,Products!$A$2:$A$50,0)),"Unmapped"))</f>
        <v/>
      </c>
      <c r="I947" s="41" t="str">
        <f aca="false">IF($A947="","",IFERROR(INDEX(Products!$C$2:$C$50,MATCH($E947,Products!$A$2:$A$50,0)),0))</f>
        <v/>
      </c>
      <c r="J947" s="41" t="str">
        <f aca="false">IF($A947="","",IFERROR(INDEX(Products!$D$2:$D$50,MATCH($E947,Products!$A$2:$A$50,0)),0))</f>
        <v/>
      </c>
      <c r="K947" s="41" t="str">
        <f aca="false">IF($A947="","",$F947*$I947*(1-$G947))</f>
        <v/>
      </c>
      <c r="L947" s="41" t="str">
        <f aca="false">IF($A947="","",$F947*$J947)</f>
        <v/>
      </c>
      <c r="M947" s="41" t="str">
        <f aca="false">IF($A947="","",$K947-$L947)</f>
        <v/>
      </c>
    </row>
    <row r="948" customFormat="false" ht="15" hidden="false" customHeight="false" outlineLevel="0" collapsed="false">
      <c r="H948" s="8" t="str">
        <f aca="false">IF($A948="","",IFERROR(INDEX(Products!$B$2:$B$50,MATCH($E948,Products!$A$2:$A$50,0)),"Unmapped"))</f>
        <v/>
      </c>
      <c r="I948" s="41" t="str">
        <f aca="false">IF($A948="","",IFERROR(INDEX(Products!$C$2:$C$50,MATCH($E948,Products!$A$2:$A$50,0)),0))</f>
        <v/>
      </c>
      <c r="J948" s="41" t="str">
        <f aca="false">IF($A948="","",IFERROR(INDEX(Products!$D$2:$D$50,MATCH($E948,Products!$A$2:$A$50,0)),0))</f>
        <v/>
      </c>
      <c r="K948" s="41" t="str">
        <f aca="false">IF($A948="","",$F948*$I948*(1-$G948))</f>
        <v/>
      </c>
      <c r="L948" s="41" t="str">
        <f aca="false">IF($A948="","",$F948*$J948)</f>
        <v/>
      </c>
      <c r="M948" s="41" t="str">
        <f aca="false">IF($A948="","",$K948-$L948)</f>
        <v/>
      </c>
    </row>
    <row r="949" customFormat="false" ht="15" hidden="false" customHeight="false" outlineLevel="0" collapsed="false">
      <c r="H949" s="8" t="str">
        <f aca="false">IF($A949="","",IFERROR(INDEX(Products!$B$2:$B$50,MATCH($E949,Products!$A$2:$A$50,0)),"Unmapped"))</f>
        <v/>
      </c>
      <c r="I949" s="41" t="str">
        <f aca="false">IF($A949="","",IFERROR(INDEX(Products!$C$2:$C$50,MATCH($E949,Products!$A$2:$A$50,0)),0))</f>
        <v/>
      </c>
      <c r="J949" s="41" t="str">
        <f aca="false">IF($A949="","",IFERROR(INDEX(Products!$D$2:$D$50,MATCH($E949,Products!$A$2:$A$50,0)),0))</f>
        <v/>
      </c>
      <c r="K949" s="41" t="str">
        <f aca="false">IF($A949="","",$F949*$I949*(1-$G949))</f>
        <v/>
      </c>
      <c r="L949" s="41" t="str">
        <f aca="false">IF($A949="","",$F949*$J949)</f>
        <v/>
      </c>
      <c r="M949" s="41" t="str">
        <f aca="false">IF($A949="","",$K949-$L949)</f>
        <v/>
      </c>
    </row>
    <row r="950" customFormat="false" ht="15" hidden="false" customHeight="false" outlineLevel="0" collapsed="false">
      <c r="H950" s="8" t="str">
        <f aca="false">IF($A950="","",IFERROR(INDEX(Products!$B$2:$B$50,MATCH($E950,Products!$A$2:$A$50,0)),"Unmapped"))</f>
        <v/>
      </c>
      <c r="I950" s="41" t="str">
        <f aca="false">IF($A950="","",IFERROR(INDEX(Products!$C$2:$C$50,MATCH($E950,Products!$A$2:$A$50,0)),0))</f>
        <v/>
      </c>
      <c r="J950" s="41" t="str">
        <f aca="false">IF($A950="","",IFERROR(INDEX(Products!$D$2:$D$50,MATCH($E950,Products!$A$2:$A$50,0)),0))</f>
        <v/>
      </c>
      <c r="K950" s="41" t="str">
        <f aca="false">IF($A950="","",$F950*$I950*(1-$G950))</f>
        <v/>
      </c>
      <c r="L950" s="41" t="str">
        <f aca="false">IF($A950="","",$F950*$J950)</f>
        <v/>
      </c>
      <c r="M950" s="41" t="str">
        <f aca="false">IF($A950="","",$K950-$L950)</f>
        <v/>
      </c>
    </row>
    <row r="951" customFormat="false" ht="15" hidden="false" customHeight="false" outlineLevel="0" collapsed="false">
      <c r="H951" s="8" t="str">
        <f aca="false">IF($A951="","",IFERROR(INDEX(Products!$B$2:$B$50,MATCH($E951,Products!$A$2:$A$50,0)),"Unmapped"))</f>
        <v/>
      </c>
      <c r="I951" s="41" t="str">
        <f aca="false">IF($A951="","",IFERROR(INDEX(Products!$C$2:$C$50,MATCH($E951,Products!$A$2:$A$50,0)),0))</f>
        <v/>
      </c>
      <c r="J951" s="41" t="str">
        <f aca="false">IF($A951="","",IFERROR(INDEX(Products!$D$2:$D$50,MATCH($E951,Products!$A$2:$A$50,0)),0))</f>
        <v/>
      </c>
      <c r="K951" s="41" t="str">
        <f aca="false">IF($A951="","",$F951*$I951*(1-$G951))</f>
        <v/>
      </c>
      <c r="L951" s="41" t="str">
        <f aca="false">IF($A951="","",$F951*$J951)</f>
        <v/>
      </c>
      <c r="M951" s="41" t="str">
        <f aca="false">IF($A951="","",$K951-$L951)</f>
        <v/>
      </c>
    </row>
    <row r="952" customFormat="false" ht="15" hidden="false" customHeight="false" outlineLevel="0" collapsed="false">
      <c r="H952" s="8" t="str">
        <f aca="false">IF($A952="","",IFERROR(INDEX(Products!$B$2:$B$50,MATCH($E952,Products!$A$2:$A$50,0)),"Unmapped"))</f>
        <v/>
      </c>
      <c r="I952" s="41" t="str">
        <f aca="false">IF($A952="","",IFERROR(INDEX(Products!$C$2:$C$50,MATCH($E952,Products!$A$2:$A$50,0)),0))</f>
        <v/>
      </c>
      <c r="J952" s="41" t="str">
        <f aca="false">IF($A952="","",IFERROR(INDEX(Products!$D$2:$D$50,MATCH($E952,Products!$A$2:$A$50,0)),0))</f>
        <v/>
      </c>
      <c r="K952" s="41" t="str">
        <f aca="false">IF($A952="","",$F952*$I952*(1-$G952))</f>
        <v/>
      </c>
      <c r="L952" s="41" t="str">
        <f aca="false">IF($A952="","",$F952*$J952)</f>
        <v/>
      </c>
      <c r="M952" s="41" t="str">
        <f aca="false">IF($A952="","",$K952-$L952)</f>
        <v/>
      </c>
    </row>
    <row r="953" customFormat="false" ht="15" hidden="false" customHeight="false" outlineLevel="0" collapsed="false">
      <c r="H953" s="8" t="str">
        <f aca="false">IF($A953="","",IFERROR(INDEX(Products!$B$2:$B$50,MATCH($E953,Products!$A$2:$A$50,0)),"Unmapped"))</f>
        <v/>
      </c>
      <c r="I953" s="41" t="str">
        <f aca="false">IF($A953="","",IFERROR(INDEX(Products!$C$2:$C$50,MATCH($E953,Products!$A$2:$A$50,0)),0))</f>
        <v/>
      </c>
      <c r="J953" s="41" t="str">
        <f aca="false">IF($A953="","",IFERROR(INDEX(Products!$D$2:$D$50,MATCH($E953,Products!$A$2:$A$50,0)),0))</f>
        <v/>
      </c>
      <c r="K953" s="41" t="str">
        <f aca="false">IF($A953="","",$F953*$I953*(1-$G953))</f>
        <v/>
      </c>
      <c r="L953" s="41" t="str">
        <f aca="false">IF($A953="","",$F953*$J953)</f>
        <v/>
      </c>
      <c r="M953" s="41" t="str">
        <f aca="false">IF($A953="","",$K953-$L953)</f>
        <v/>
      </c>
    </row>
    <row r="954" customFormat="false" ht="15" hidden="false" customHeight="false" outlineLevel="0" collapsed="false">
      <c r="H954" s="8" t="str">
        <f aca="false">IF($A954="","",IFERROR(INDEX(Products!$B$2:$B$50,MATCH($E954,Products!$A$2:$A$50,0)),"Unmapped"))</f>
        <v/>
      </c>
      <c r="I954" s="41" t="str">
        <f aca="false">IF($A954="","",IFERROR(INDEX(Products!$C$2:$C$50,MATCH($E954,Products!$A$2:$A$50,0)),0))</f>
        <v/>
      </c>
      <c r="J954" s="41" t="str">
        <f aca="false">IF($A954="","",IFERROR(INDEX(Products!$D$2:$D$50,MATCH($E954,Products!$A$2:$A$50,0)),0))</f>
        <v/>
      </c>
      <c r="K954" s="41" t="str">
        <f aca="false">IF($A954="","",$F954*$I954*(1-$G954))</f>
        <v/>
      </c>
      <c r="L954" s="41" t="str">
        <f aca="false">IF($A954="","",$F954*$J954)</f>
        <v/>
      </c>
      <c r="M954" s="41" t="str">
        <f aca="false">IF($A954="","",$K954-$L954)</f>
        <v/>
      </c>
    </row>
    <row r="955" customFormat="false" ht="15" hidden="false" customHeight="false" outlineLevel="0" collapsed="false">
      <c r="H955" s="8" t="str">
        <f aca="false">IF($A955="","",IFERROR(INDEX(Products!$B$2:$B$50,MATCH($E955,Products!$A$2:$A$50,0)),"Unmapped"))</f>
        <v/>
      </c>
      <c r="I955" s="41" t="str">
        <f aca="false">IF($A955="","",IFERROR(INDEX(Products!$C$2:$C$50,MATCH($E955,Products!$A$2:$A$50,0)),0))</f>
        <v/>
      </c>
      <c r="J955" s="41" t="str">
        <f aca="false">IF($A955="","",IFERROR(INDEX(Products!$D$2:$D$50,MATCH($E955,Products!$A$2:$A$50,0)),0))</f>
        <v/>
      </c>
      <c r="K955" s="41" t="str">
        <f aca="false">IF($A955="","",$F955*$I955*(1-$G955))</f>
        <v/>
      </c>
      <c r="L955" s="41" t="str">
        <f aca="false">IF($A955="","",$F955*$J955)</f>
        <v/>
      </c>
      <c r="M955" s="41" t="str">
        <f aca="false">IF($A955="","",$K955-$L955)</f>
        <v/>
      </c>
    </row>
    <row r="956" customFormat="false" ht="15" hidden="false" customHeight="false" outlineLevel="0" collapsed="false">
      <c r="H956" s="8" t="str">
        <f aca="false">IF($A956="","",IFERROR(INDEX(Products!$B$2:$B$50,MATCH($E956,Products!$A$2:$A$50,0)),"Unmapped"))</f>
        <v/>
      </c>
      <c r="I956" s="41" t="str">
        <f aca="false">IF($A956="","",IFERROR(INDEX(Products!$C$2:$C$50,MATCH($E956,Products!$A$2:$A$50,0)),0))</f>
        <v/>
      </c>
      <c r="J956" s="41" t="str">
        <f aca="false">IF($A956="","",IFERROR(INDEX(Products!$D$2:$D$50,MATCH($E956,Products!$A$2:$A$50,0)),0))</f>
        <v/>
      </c>
      <c r="K956" s="41" t="str">
        <f aca="false">IF($A956="","",$F956*$I956*(1-$G956))</f>
        <v/>
      </c>
      <c r="L956" s="41" t="str">
        <f aca="false">IF($A956="","",$F956*$J956)</f>
        <v/>
      </c>
      <c r="M956" s="41" t="str">
        <f aca="false">IF($A956="","",$K956-$L956)</f>
        <v/>
      </c>
    </row>
    <row r="957" customFormat="false" ht="15" hidden="false" customHeight="false" outlineLevel="0" collapsed="false">
      <c r="H957" s="8" t="str">
        <f aca="false">IF($A957="","",IFERROR(INDEX(Products!$B$2:$B$50,MATCH($E957,Products!$A$2:$A$50,0)),"Unmapped"))</f>
        <v/>
      </c>
      <c r="I957" s="41" t="str">
        <f aca="false">IF($A957="","",IFERROR(INDEX(Products!$C$2:$C$50,MATCH($E957,Products!$A$2:$A$50,0)),0))</f>
        <v/>
      </c>
      <c r="J957" s="41" t="str">
        <f aca="false">IF($A957="","",IFERROR(INDEX(Products!$D$2:$D$50,MATCH($E957,Products!$A$2:$A$50,0)),0))</f>
        <v/>
      </c>
      <c r="K957" s="41" t="str">
        <f aca="false">IF($A957="","",$F957*$I957*(1-$G957))</f>
        <v/>
      </c>
      <c r="L957" s="41" t="str">
        <f aca="false">IF($A957="","",$F957*$J957)</f>
        <v/>
      </c>
      <c r="M957" s="41" t="str">
        <f aca="false">IF($A957="","",$K957-$L957)</f>
        <v/>
      </c>
    </row>
    <row r="958" customFormat="false" ht="15" hidden="false" customHeight="false" outlineLevel="0" collapsed="false">
      <c r="H958" s="8" t="str">
        <f aca="false">IF($A958="","",IFERROR(INDEX(Products!$B$2:$B$50,MATCH($E958,Products!$A$2:$A$50,0)),"Unmapped"))</f>
        <v/>
      </c>
      <c r="I958" s="41" t="str">
        <f aca="false">IF($A958="","",IFERROR(INDEX(Products!$C$2:$C$50,MATCH($E958,Products!$A$2:$A$50,0)),0))</f>
        <v/>
      </c>
      <c r="J958" s="41" t="str">
        <f aca="false">IF($A958="","",IFERROR(INDEX(Products!$D$2:$D$50,MATCH($E958,Products!$A$2:$A$50,0)),0))</f>
        <v/>
      </c>
      <c r="K958" s="41" t="str">
        <f aca="false">IF($A958="","",$F958*$I958*(1-$G958))</f>
        <v/>
      </c>
      <c r="L958" s="41" t="str">
        <f aca="false">IF($A958="","",$F958*$J958)</f>
        <v/>
      </c>
      <c r="M958" s="41" t="str">
        <f aca="false">IF($A958="","",$K958-$L958)</f>
        <v/>
      </c>
    </row>
    <row r="959" customFormat="false" ht="15" hidden="false" customHeight="false" outlineLevel="0" collapsed="false">
      <c r="H959" s="8" t="str">
        <f aca="false">IF($A959="","",IFERROR(INDEX(Products!$B$2:$B$50,MATCH($E959,Products!$A$2:$A$50,0)),"Unmapped"))</f>
        <v/>
      </c>
      <c r="I959" s="41" t="str">
        <f aca="false">IF($A959="","",IFERROR(INDEX(Products!$C$2:$C$50,MATCH($E959,Products!$A$2:$A$50,0)),0))</f>
        <v/>
      </c>
      <c r="J959" s="41" t="str">
        <f aca="false">IF($A959="","",IFERROR(INDEX(Products!$D$2:$D$50,MATCH($E959,Products!$A$2:$A$50,0)),0))</f>
        <v/>
      </c>
      <c r="K959" s="41" t="str">
        <f aca="false">IF($A959="","",$F959*$I959*(1-$G959))</f>
        <v/>
      </c>
      <c r="L959" s="41" t="str">
        <f aca="false">IF($A959="","",$F959*$J959)</f>
        <v/>
      </c>
      <c r="M959" s="41" t="str">
        <f aca="false">IF($A959="","",$K959-$L959)</f>
        <v/>
      </c>
    </row>
    <row r="960" customFormat="false" ht="15" hidden="false" customHeight="false" outlineLevel="0" collapsed="false">
      <c r="H960" s="8" t="str">
        <f aca="false">IF($A960="","",IFERROR(INDEX(Products!$B$2:$B$50,MATCH($E960,Products!$A$2:$A$50,0)),"Unmapped"))</f>
        <v/>
      </c>
      <c r="I960" s="41" t="str">
        <f aca="false">IF($A960="","",IFERROR(INDEX(Products!$C$2:$C$50,MATCH($E960,Products!$A$2:$A$50,0)),0))</f>
        <v/>
      </c>
      <c r="J960" s="41" t="str">
        <f aca="false">IF($A960="","",IFERROR(INDEX(Products!$D$2:$D$50,MATCH($E960,Products!$A$2:$A$50,0)),0))</f>
        <v/>
      </c>
      <c r="K960" s="41" t="str">
        <f aca="false">IF($A960="","",$F960*$I960*(1-$G960))</f>
        <v/>
      </c>
      <c r="L960" s="41" t="str">
        <f aca="false">IF($A960="","",$F960*$J960)</f>
        <v/>
      </c>
      <c r="M960" s="41" t="str">
        <f aca="false">IF($A960="","",$K960-$L960)</f>
        <v/>
      </c>
    </row>
    <row r="961" customFormat="false" ht="15" hidden="false" customHeight="false" outlineLevel="0" collapsed="false">
      <c r="H961" s="8" t="str">
        <f aca="false">IF($A961="","",IFERROR(INDEX(Products!$B$2:$B$50,MATCH($E961,Products!$A$2:$A$50,0)),"Unmapped"))</f>
        <v/>
      </c>
      <c r="I961" s="41" t="str">
        <f aca="false">IF($A961="","",IFERROR(INDEX(Products!$C$2:$C$50,MATCH($E961,Products!$A$2:$A$50,0)),0))</f>
        <v/>
      </c>
      <c r="J961" s="41" t="str">
        <f aca="false">IF($A961="","",IFERROR(INDEX(Products!$D$2:$D$50,MATCH($E961,Products!$A$2:$A$50,0)),0))</f>
        <v/>
      </c>
      <c r="K961" s="41" t="str">
        <f aca="false">IF($A961="","",$F961*$I961*(1-$G961))</f>
        <v/>
      </c>
      <c r="L961" s="41" t="str">
        <f aca="false">IF($A961="","",$F961*$J961)</f>
        <v/>
      </c>
      <c r="M961" s="41" t="str">
        <f aca="false">IF($A961="","",$K961-$L961)</f>
        <v/>
      </c>
    </row>
    <row r="962" customFormat="false" ht="15" hidden="false" customHeight="false" outlineLevel="0" collapsed="false">
      <c r="H962" s="8" t="str">
        <f aca="false">IF($A962="","",IFERROR(INDEX(Products!$B$2:$B$50,MATCH($E962,Products!$A$2:$A$50,0)),"Unmapped"))</f>
        <v/>
      </c>
      <c r="I962" s="41" t="str">
        <f aca="false">IF($A962="","",IFERROR(INDEX(Products!$C$2:$C$50,MATCH($E962,Products!$A$2:$A$50,0)),0))</f>
        <v/>
      </c>
      <c r="J962" s="41" t="str">
        <f aca="false">IF($A962="","",IFERROR(INDEX(Products!$D$2:$D$50,MATCH($E962,Products!$A$2:$A$50,0)),0))</f>
        <v/>
      </c>
      <c r="K962" s="41" t="str">
        <f aca="false">IF($A962="","",$F962*$I962*(1-$G962))</f>
        <v/>
      </c>
      <c r="L962" s="41" t="str">
        <f aca="false">IF($A962="","",$F962*$J962)</f>
        <v/>
      </c>
      <c r="M962" s="41" t="str">
        <f aca="false">IF($A962="","",$K962-$L962)</f>
        <v/>
      </c>
    </row>
    <row r="963" customFormat="false" ht="15" hidden="false" customHeight="false" outlineLevel="0" collapsed="false">
      <c r="H963" s="8" t="str">
        <f aca="false">IF($A963="","",IFERROR(INDEX(Products!$B$2:$B$50,MATCH($E963,Products!$A$2:$A$50,0)),"Unmapped"))</f>
        <v/>
      </c>
      <c r="I963" s="41" t="str">
        <f aca="false">IF($A963="","",IFERROR(INDEX(Products!$C$2:$C$50,MATCH($E963,Products!$A$2:$A$50,0)),0))</f>
        <v/>
      </c>
      <c r="J963" s="41" t="str">
        <f aca="false">IF($A963="","",IFERROR(INDEX(Products!$D$2:$D$50,MATCH($E963,Products!$A$2:$A$50,0)),0))</f>
        <v/>
      </c>
      <c r="K963" s="41" t="str">
        <f aca="false">IF($A963="","",$F963*$I963*(1-$G963))</f>
        <v/>
      </c>
      <c r="L963" s="41" t="str">
        <f aca="false">IF($A963="","",$F963*$J963)</f>
        <v/>
      </c>
      <c r="M963" s="41" t="str">
        <f aca="false">IF($A963="","",$K963-$L963)</f>
        <v/>
      </c>
    </row>
    <row r="964" customFormat="false" ht="15" hidden="false" customHeight="false" outlineLevel="0" collapsed="false">
      <c r="H964" s="8" t="str">
        <f aca="false">IF($A964="","",IFERROR(INDEX(Products!$B$2:$B$50,MATCH($E964,Products!$A$2:$A$50,0)),"Unmapped"))</f>
        <v/>
      </c>
      <c r="I964" s="41" t="str">
        <f aca="false">IF($A964="","",IFERROR(INDEX(Products!$C$2:$C$50,MATCH($E964,Products!$A$2:$A$50,0)),0))</f>
        <v/>
      </c>
      <c r="J964" s="41" t="str">
        <f aca="false">IF($A964="","",IFERROR(INDEX(Products!$D$2:$D$50,MATCH($E964,Products!$A$2:$A$50,0)),0))</f>
        <v/>
      </c>
      <c r="K964" s="41" t="str">
        <f aca="false">IF($A964="","",$F964*$I964*(1-$G964))</f>
        <v/>
      </c>
      <c r="L964" s="41" t="str">
        <f aca="false">IF($A964="","",$F964*$J964)</f>
        <v/>
      </c>
      <c r="M964" s="41" t="str">
        <f aca="false">IF($A964="","",$K964-$L964)</f>
        <v/>
      </c>
    </row>
    <row r="965" customFormat="false" ht="15" hidden="false" customHeight="false" outlineLevel="0" collapsed="false">
      <c r="H965" s="8" t="str">
        <f aca="false">IF($A965="","",IFERROR(INDEX(Products!$B$2:$B$50,MATCH($E965,Products!$A$2:$A$50,0)),"Unmapped"))</f>
        <v/>
      </c>
      <c r="I965" s="41" t="str">
        <f aca="false">IF($A965="","",IFERROR(INDEX(Products!$C$2:$C$50,MATCH($E965,Products!$A$2:$A$50,0)),0))</f>
        <v/>
      </c>
      <c r="J965" s="41" t="str">
        <f aca="false">IF($A965="","",IFERROR(INDEX(Products!$D$2:$D$50,MATCH($E965,Products!$A$2:$A$50,0)),0))</f>
        <v/>
      </c>
      <c r="K965" s="41" t="str">
        <f aca="false">IF($A965="","",$F965*$I965*(1-$G965))</f>
        <v/>
      </c>
      <c r="L965" s="41" t="str">
        <f aca="false">IF($A965="","",$F965*$J965)</f>
        <v/>
      </c>
      <c r="M965" s="41" t="str">
        <f aca="false">IF($A965="","",$K965-$L965)</f>
        <v/>
      </c>
    </row>
    <row r="966" customFormat="false" ht="15" hidden="false" customHeight="false" outlineLevel="0" collapsed="false">
      <c r="H966" s="8" t="str">
        <f aca="false">IF($A966="","",IFERROR(INDEX(Products!$B$2:$B$50,MATCH($E966,Products!$A$2:$A$50,0)),"Unmapped"))</f>
        <v/>
      </c>
      <c r="I966" s="41" t="str">
        <f aca="false">IF($A966="","",IFERROR(INDEX(Products!$C$2:$C$50,MATCH($E966,Products!$A$2:$A$50,0)),0))</f>
        <v/>
      </c>
      <c r="J966" s="41" t="str">
        <f aca="false">IF($A966="","",IFERROR(INDEX(Products!$D$2:$D$50,MATCH($E966,Products!$A$2:$A$50,0)),0))</f>
        <v/>
      </c>
      <c r="K966" s="41" t="str">
        <f aca="false">IF($A966="","",$F966*$I966*(1-$G966))</f>
        <v/>
      </c>
      <c r="L966" s="41" t="str">
        <f aca="false">IF($A966="","",$F966*$J966)</f>
        <v/>
      </c>
      <c r="M966" s="41" t="str">
        <f aca="false">IF($A966="","",$K966-$L966)</f>
        <v/>
      </c>
    </row>
    <row r="967" customFormat="false" ht="15" hidden="false" customHeight="false" outlineLevel="0" collapsed="false">
      <c r="H967" s="8" t="str">
        <f aca="false">IF($A967="","",IFERROR(INDEX(Products!$B$2:$B$50,MATCH($E967,Products!$A$2:$A$50,0)),"Unmapped"))</f>
        <v/>
      </c>
      <c r="I967" s="41" t="str">
        <f aca="false">IF($A967="","",IFERROR(INDEX(Products!$C$2:$C$50,MATCH($E967,Products!$A$2:$A$50,0)),0))</f>
        <v/>
      </c>
      <c r="J967" s="41" t="str">
        <f aca="false">IF($A967="","",IFERROR(INDEX(Products!$D$2:$D$50,MATCH($E967,Products!$A$2:$A$50,0)),0))</f>
        <v/>
      </c>
      <c r="K967" s="41" t="str">
        <f aca="false">IF($A967="","",$F967*$I967*(1-$G967))</f>
        <v/>
      </c>
      <c r="L967" s="41" t="str">
        <f aca="false">IF($A967="","",$F967*$J967)</f>
        <v/>
      </c>
      <c r="M967" s="41" t="str">
        <f aca="false">IF($A967="","",$K967-$L967)</f>
        <v/>
      </c>
    </row>
    <row r="968" customFormat="false" ht="15" hidden="false" customHeight="false" outlineLevel="0" collapsed="false">
      <c r="H968" s="8" t="str">
        <f aca="false">IF($A968="","",IFERROR(INDEX(Products!$B$2:$B$50,MATCH($E968,Products!$A$2:$A$50,0)),"Unmapped"))</f>
        <v/>
      </c>
      <c r="I968" s="41" t="str">
        <f aca="false">IF($A968="","",IFERROR(INDEX(Products!$C$2:$C$50,MATCH($E968,Products!$A$2:$A$50,0)),0))</f>
        <v/>
      </c>
      <c r="J968" s="41" t="str">
        <f aca="false">IF($A968="","",IFERROR(INDEX(Products!$D$2:$D$50,MATCH($E968,Products!$A$2:$A$50,0)),0))</f>
        <v/>
      </c>
      <c r="K968" s="41" t="str">
        <f aca="false">IF($A968="","",$F968*$I968*(1-$G968))</f>
        <v/>
      </c>
      <c r="L968" s="41" t="str">
        <f aca="false">IF($A968="","",$F968*$J968)</f>
        <v/>
      </c>
      <c r="M968" s="41" t="str">
        <f aca="false">IF($A968="","",$K968-$L968)</f>
        <v/>
      </c>
    </row>
    <row r="969" customFormat="false" ht="15" hidden="false" customHeight="false" outlineLevel="0" collapsed="false">
      <c r="H969" s="8" t="str">
        <f aca="false">IF($A969="","",IFERROR(INDEX(Products!$B$2:$B$50,MATCH($E969,Products!$A$2:$A$50,0)),"Unmapped"))</f>
        <v/>
      </c>
      <c r="I969" s="41" t="str">
        <f aca="false">IF($A969="","",IFERROR(INDEX(Products!$C$2:$C$50,MATCH($E969,Products!$A$2:$A$50,0)),0))</f>
        <v/>
      </c>
      <c r="J969" s="41" t="str">
        <f aca="false">IF($A969="","",IFERROR(INDEX(Products!$D$2:$D$50,MATCH($E969,Products!$A$2:$A$50,0)),0))</f>
        <v/>
      </c>
      <c r="K969" s="41" t="str">
        <f aca="false">IF($A969="","",$F969*$I969*(1-$G969))</f>
        <v/>
      </c>
      <c r="L969" s="41" t="str">
        <f aca="false">IF($A969="","",$F969*$J969)</f>
        <v/>
      </c>
      <c r="M969" s="41" t="str">
        <f aca="false">IF($A969="","",$K969-$L969)</f>
        <v/>
      </c>
    </row>
    <row r="970" customFormat="false" ht="15" hidden="false" customHeight="false" outlineLevel="0" collapsed="false">
      <c r="H970" s="8" t="str">
        <f aca="false">IF($A970="","",IFERROR(INDEX(Products!$B$2:$B$50,MATCH($E970,Products!$A$2:$A$50,0)),"Unmapped"))</f>
        <v/>
      </c>
      <c r="I970" s="41" t="str">
        <f aca="false">IF($A970="","",IFERROR(INDEX(Products!$C$2:$C$50,MATCH($E970,Products!$A$2:$A$50,0)),0))</f>
        <v/>
      </c>
      <c r="J970" s="41" t="str">
        <f aca="false">IF($A970="","",IFERROR(INDEX(Products!$D$2:$D$50,MATCH($E970,Products!$A$2:$A$50,0)),0))</f>
        <v/>
      </c>
      <c r="K970" s="41" t="str">
        <f aca="false">IF($A970="","",$F970*$I970*(1-$G970))</f>
        <v/>
      </c>
      <c r="L970" s="41" t="str">
        <f aca="false">IF($A970="","",$F970*$J970)</f>
        <v/>
      </c>
      <c r="M970" s="41" t="str">
        <f aca="false">IF($A970="","",$K970-$L970)</f>
        <v/>
      </c>
    </row>
    <row r="971" customFormat="false" ht="15" hidden="false" customHeight="false" outlineLevel="0" collapsed="false">
      <c r="H971" s="8" t="str">
        <f aca="false">IF($A971="","",IFERROR(INDEX(Products!$B$2:$B$50,MATCH($E971,Products!$A$2:$A$50,0)),"Unmapped"))</f>
        <v/>
      </c>
      <c r="I971" s="41" t="str">
        <f aca="false">IF($A971="","",IFERROR(INDEX(Products!$C$2:$C$50,MATCH($E971,Products!$A$2:$A$50,0)),0))</f>
        <v/>
      </c>
      <c r="J971" s="41" t="str">
        <f aca="false">IF($A971="","",IFERROR(INDEX(Products!$D$2:$D$50,MATCH($E971,Products!$A$2:$A$50,0)),0))</f>
        <v/>
      </c>
      <c r="K971" s="41" t="str">
        <f aca="false">IF($A971="","",$F971*$I971*(1-$G971))</f>
        <v/>
      </c>
      <c r="L971" s="41" t="str">
        <f aca="false">IF($A971="","",$F971*$J971)</f>
        <v/>
      </c>
      <c r="M971" s="41" t="str">
        <f aca="false">IF($A971="","",$K971-$L971)</f>
        <v/>
      </c>
    </row>
    <row r="972" customFormat="false" ht="15" hidden="false" customHeight="false" outlineLevel="0" collapsed="false">
      <c r="H972" s="8" t="str">
        <f aca="false">IF($A972="","",IFERROR(INDEX(Products!$B$2:$B$50,MATCH($E972,Products!$A$2:$A$50,0)),"Unmapped"))</f>
        <v/>
      </c>
      <c r="I972" s="41" t="str">
        <f aca="false">IF($A972="","",IFERROR(INDEX(Products!$C$2:$C$50,MATCH($E972,Products!$A$2:$A$50,0)),0))</f>
        <v/>
      </c>
      <c r="J972" s="41" t="str">
        <f aca="false">IF($A972="","",IFERROR(INDEX(Products!$D$2:$D$50,MATCH($E972,Products!$A$2:$A$50,0)),0))</f>
        <v/>
      </c>
      <c r="K972" s="41" t="str">
        <f aca="false">IF($A972="","",$F972*$I972*(1-$G972))</f>
        <v/>
      </c>
      <c r="L972" s="41" t="str">
        <f aca="false">IF($A972="","",$F972*$J972)</f>
        <v/>
      </c>
      <c r="M972" s="41" t="str">
        <f aca="false">IF($A972="","",$K972-$L972)</f>
        <v/>
      </c>
    </row>
    <row r="973" customFormat="false" ht="15" hidden="false" customHeight="false" outlineLevel="0" collapsed="false">
      <c r="H973" s="8" t="str">
        <f aca="false">IF($A973="","",IFERROR(INDEX(Products!$B$2:$B$50,MATCH($E973,Products!$A$2:$A$50,0)),"Unmapped"))</f>
        <v/>
      </c>
      <c r="I973" s="41" t="str">
        <f aca="false">IF($A973="","",IFERROR(INDEX(Products!$C$2:$C$50,MATCH($E973,Products!$A$2:$A$50,0)),0))</f>
        <v/>
      </c>
      <c r="J973" s="41" t="str">
        <f aca="false">IF($A973="","",IFERROR(INDEX(Products!$D$2:$D$50,MATCH($E973,Products!$A$2:$A$50,0)),0))</f>
        <v/>
      </c>
      <c r="K973" s="41" t="str">
        <f aca="false">IF($A973="","",$F973*$I973*(1-$G973))</f>
        <v/>
      </c>
      <c r="L973" s="41" t="str">
        <f aca="false">IF($A973="","",$F973*$J973)</f>
        <v/>
      </c>
      <c r="M973" s="41" t="str">
        <f aca="false">IF($A973="","",$K973-$L973)</f>
        <v/>
      </c>
    </row>
    <row r="974" customFormat="false" ht="15" hidden="false" customHeight="false" outlineLevel="0" collapsed="false">
      <c r="H974" s="8" t="str">
        <f aca="false">IF($A974="","",IFERROR(INDEX(Products!$B$2:$B$50,MATCH($E974,Products!$A$2:$A$50,0)),"Unmapped"))</f>
        <v/>
      </c>
      <c r="I974" s="41" t="str">
        <f aca="false">IF($A974="","",IFERROR(INDEX(Products!$C$2:$C$50,MATCH($E974,Products!$A$2:$A$50,0)),0))</f>
        <v/>
      </c>
      <c r="J974" s="41" t="str">
        <f aca="false">IF($A974="","",IFERROR(INDEX(Products!$D$2:$D$50,MATCH($E974,Products!$A$2:$A$50,0)),0))</f>
        <v/>
      </c>
      <c r="K974" s="41" t="str">
        <f aca="false">IF($A974="","",$F974*$I974*(1-$G974))</f>
        <v/>
      </c>
      <c r="L974" s="41" t="str">
        <f aca="false">IF($A974="","",$F974*$J974)</f>
        <v/>
      </c>
      <c r="M974" s="41" t="str">
        <f aca="false">IF($A974="","",$K974-$L974)</f>
        <v/>
      </c>
    </row>
    <row r="975" customFormat="false" ht="15" hidden="false" customHeight="false" outlineLevel="0" collapsed="false">
      <c r="H975" s="8" t="str">
        <f aca="false">IF($A975="","",IFERROR(INDEX(Products!$B$2:$B$50,MATCH($E975,Products!$A$2:$A$50,0)),"Unmapped"))</f>
        <v/>
      </c>
      <c r="I975" s="41" t="str">
        <f aca="false">IF($A975="","",IFERROR(INDEX(Products!$C$2:$C$50,MATCH($E975,Products!$A$2:$A$50,0)),0))</f>
        <v/>
      </c>
      <c r="J975" s="41" t="str">
        <f aca="false">IF($A975="","",IFERROR(INDEX(Products!$D$2:$D$50,MATCH($E975,Products!$A$2:$A$50,0)),0))</f>
        <v/>
      </c>
      <c r="K975" s="41" t="str">
        <f aca="false">IF($A975="","",$F975*$I975*(1-$G975))</f>
        <v/>
      </c>
      <c r="L975" s="41" t="str">
        <f aca="false">IF($A975="","",$F975*$J975)</f>
        <v/>
      </c>
      <c r="M975" s="41" t="str">
        <f aca="false">IF($A975="","",$K975-$L975)</f>
        <v/>
      </c>
    </row>
    <row r="976" customFormat="false" ht="15" hidden="false" customHeight="false" outlineLevel="0" collapsed="false">
      <c r="H976" s="8" t="str">
        <f aca="false">IF($A976="","",IFERROR(INDEX(Products!$B$2:$B$50,MATCH($E976,Products!$A$2:$A$50,0)),"Unmapped"))</f>
        <v/>
      </c>
      <c r="I976" s="41" t="str">
        <f aca="false">IF($A976="","",IFERROR(INDEX(Products!$C$2:$C$50,MATCH($E976,Products!$A$2:$A$50,0)),0))</f>
        <v/>
      </c>
      <c r="J976" s="41" t="str">
        <f aca="false">IF($A976="","",IFERROR(INDEX(Products!$D$2:$D$50,MATCH($E976,Products!$A$2:$A$50,0)),0))</f>
        <v/>
      </c>
      <c r="K976" s="41" t="str">
        <f aca="false">IF($A976="","",$F976*$I976*(1-$G976))</f>
        <v/>
      </c>
      <c r="L976" s="41" t="str">
        <f aca="false">IF($A976="","",$F976*$J976)</f>
        <v/>
      </c>
      <c r="M976" s="41" t="str">
        <f aca="false">IF($A976="","",$K976-$L976)</f>
        <v/>
      </c>
    </row>
    <row r="977" customFormat="false" ht="15" hidden="false" customHeight="false" outlineLevel="0" collapsed="false">
      <c r="H977" s="8" t="str">
        <f aca="false">IF($A977="","",IFERROR(INDEX(Products!$B$2:$B$50,MATCH($E977,Products!$A$2:$A$50,0)),"Unmapped"))</f>
        <v/>
      </c>
      <c r="I977" s="41" t="str">
        <f aca="false">IF($A977="","",IFERROR(INDEX(Products!$C$2:$C$50,MATCH($E977,Products!$A$2:$A$50,0)),0))</f>
        <v/>
      </c>
      <c r="J977" s="41" t="str">
        <f aca="false">IF($A977="","",IFERROR(INDEX(Products!$D$2:$D$50,MATCH($E977,Products!$A$2:$A$50,0)),0))</f>
        <v/>
      </c>
      <c r="K977" s="41" t="str">
        <f aca="false">IF($A977="","",$F977*$I977*(1-$G977))</f>
        <v/>
      </c>
      <c r="L977" s="41" t="str">
        <f aca="false">IF($A977="","",$F977*$J977)</f>
        <v/>
      </c>
      <c r="M977" s="41" t="str">
        <f aca="false">IF($A977="","",$K977-$L977)</f>
        <v/>
      </c>
    </row>
    <row r="978" customFormat="false" ht="15" hidden="false" customHeight="false" outlineLevel="0" collapsed="false">
      <c r="H978" s="8" t="str">
        <f aca="false">IF($A978="","",IFERROR(INDEX(Products!$B$2:$B$50,MATCH($E978,Products!$A$2:$A$50,0)),"Unmapped"))</f>
        <v/>
      </c>
      <c r="I978" s="41" t="str">
        <f aca="false">IF($A978="","",IFERROR(INDEX(Products!$C$2:$C$50,MATCH($E978,Products!$A$2:$A$50,0)),0))</f>
        <v/>
      </c>
      <c r="J978" s="41" t="str">
        <f aca="false">IF($A978="","",IFERROR(INDEX(Products!$D$2:$D$50,MATCH($E978,Products!$A$2:$A$50,0)),0))</f>
        <v/>
      </c>
      <c r="K978" s="41" t="str">
        <f aca="false">IF($A978="","",$F978*$I978*(1-$G978))</f>
        <v/>
      </c>
      <c r="L978" s="41" t="str">
        <f aca="false">IF($A978="","",$F978*$J978)</f>
        <v/>
      </c>
      <c r="M978" s="41" t="str">
        <f aca="false">IF($A978="","",$K978-$L978)</f>
        <v/>
      </c>
    </row>
    <row r="979" customFormat="false" ht="15" hidden="false" customHeight="false" outlineLevel="0" collapsed="false">
      <c r="H979" s="8" t="str">
        <f aca="false">IF($A979="","",IFERROR(INDEX(Products!$B$2:$B$50,MATCH($E979,Products!$A$2:$A$50,0)),"Unmapped"))</f>
        <v/>
      </c>
      <c r="I979" s="41" t="str">
        <f aca="false">IF($A979="","",IFERROR(INDEX(Products!$C$2:$C$50,MATCH($E979,Products!$A$2:$A$50,0)),0))</f>
        <v/>
      </c>
      <c r="J979" s="41" t="str">
        <f aca="false">IF($A979="","",IFERROR(INDEX(Products!$D$2:$D$50,MATCH($E979,Products!$A$2:$A$50,0)),0))</f>
        <v/>
      </c>
      <c r="K979" s="41" t="str">
        <f aca="false">IF($A979="","",$F979*$I979*(1-$G979))</f>
        <v/>
      </c>
      <c r="L979" s="41" t="str">
        <f aca="false">IF($A979="","",$F979*$J979)</f>
        <v/>
      </c>
      <c r="M979" s="41" t="str">
        <f aca="false">IF($A979="","",$K979-$L979)</f>
        <v/>
      </c>
    </row>
    <row r="980" customFormat="false" ht="15" hidden="false" customHeight="false" outlineLevel="0" collapsed="false">
      <c r="H980" s="8" t="str">
        <f aca="false">IF($A980="","",IFERROR(INDEX(Products!$B$2:$B$50,MATCH($E980,Products!$A$2:$A$50,0)),"Unmapped"))</f>
        <v/>
      </c>
      <c r="I980" s="41" t="str">
        <f aca="false">IF($A980="","",IFERROR(INDEX(Products!$C$2:$C$50,MATCH($E980,Products!$A$2:$A$50,0)),0))</f>
        <v/>
      </c>
      <c r="J980" s="41" t="str">
        <f aca="false">IF($A980="","",IFERROR(INDEX(Products!$D$2:$D$50,MATCH($E980,Products!$A$2:$A$50,0)),0))</f>
        <v/>
      </c>
      <c r="K980" s="41" t="str">
        <f aca="false">IF($A980="","",$F980*$I980*(1-$G980))</f>
        <v/>
      </c>
      <c r="L980" s="41" t="str">
        <f aca="false">IF($A980="","",$F980*$J980)</f>
        <v/>
      </c>
      <c r="M980" s="41" t="str">
        <f aca="false">IF($A980="","",$K980-$L980)</f>
        <v/>
      </c>
    </row>
    <row r="981" customFormat="false" ht="15" hidden="false" customHeight="false" outlineLevel="0" collapsed="false">
      <c r="H981" s="8" t="str">
        <f aca="false">IF($A981="","",IFERROR(INDEX(Products!$B$2:$B$50,MATCH($E981,Products!$A$2:$A$50,0)),"Unmapped"))</f>
        <v/>
      </c>
      <c r="I981" s="41" t="str">
        <f aca="false">IF($A981="","",IFERROR(INDEX(Products!$C$2:$C$50,MATCH($E981,Products!$A$2:$A$50,0)),0))</f>
        <v/>
      </c>
      <c r="J981" s="41" t="str">
        <f aca="false">IF($A981="","",IFERROR(INDEX(Products!$D$2:$D$50,MATCH($E981,Products!$A$2:$A$50,0)),0))</f>
        <v/>
      </c>
      <c r="K981" s="41" t="str">
        <f aca="false">IF($A981="","",$F981*$I981*(1-$G981))</f>
        <v/>
      </c>
      <c r="L981" s="41" t="str">
        <f aca="false">IF($A981="","",$F981*$J981)</f>
        <v/>
      </c>
      <c r="M981" s="41" t="str">
        <f aca="false">IF($A981="","",$K981-$L981)</f>
        <v/>
      </c>
    </row>
    <row r="982" customFormat="false" ht="15" hidden="false" customHeight="false" outlineLevel="0" collapsed="false">
      <c r="H982" s="8" t="str">
        <f aca="false">IF($A982="","",IFERROR(INDEX(Products!$B$2:$B$50,MATCH($E982,Products!$A$2:$A$50,0)),"Unmapped"))</f>
        <v/>
      </c>
      <c r="I982" s="41" t="str">
        <f aca="false">IF($A982="","",IFERROR(INDEX(Products!$C$2:$C$50,MATCH($E982,Products!$A$2:$A$50,0)),0))</f>
        <v/>
      </c>
      <c r="J982" s="41" t="str">
        <f aca="false">IF($A982="","",IFERROR(INDEX(Products!$D$2:$D$50,MATCH($E982,Products!$A$2:$A$50,0)),0))</f>
        <v/>
      </c>
      <c r="K982" s="41" t="str">
        <f aca="false">IF($A982="","",$F982*$I982*(1-$G982))</f>
        <v/>
      </c>
      <c r="L982" s="41" t="str">
        <f aca="false">IF($A982="","",$F982*$J982)</f>
        <v/>
      </c>
      <c r="M982" s="41" t="str">
        <f aca="false">IF($A982="","",$K982-$L982)</f>
        <v/>
      </c>
    </row>
    <row r="983" customFormat="false" ht="15" hidden="false" customHeight="false" outlineLevel="0" collapsed="false">
      <c r="H983" s="8" t="str">
        <f aca="false">IF($A983="","",IFERROR(INDEX(Products!$B$2:$B$50,MATCH($E983,Products!$A$2:$A$50,0)),"Unmapped"))</f>
        <v/>
      </c>
      <c r="I983" s="41" t="str">
        <f aca="false">IF($A983="","",IFERROR(INDEX(Products!$C$2:$C$50,MATCH($E983,Products!$A$2:$A$50,0)),0))</f>
        <v/>
      </c>
      <c r="J983" s="41" t="str">
        <f aca="false">IF($A983="","",IFERROR(INDEX(Products!$D$2:$D$50,MATCH($E983,Products!$A$2:$A$50,0)),0))</f>
        <v/>
      </c>
      <c r="K983" s="41" t="str">
        <f aca="false">IF($A983="","",$F983*$I983*(1-$G983))</f>
        <v/>
      </c>
      <c r="L983" s="41" t="str">
        <f aca="false">IF($A983="","",$F983*$J983)</f>
        <v/>
      </c>
      <c r="M983" s="41" t="str">
        <f aca="false">IF($A983="","",$K983-$L983)</f>
        <v/>
      </c>
    </row>
    <row r="984" customFormat="false" ht="15" hidden="false" customHeight="false" outlineLevel="0" collapsed="false">
      <c r="H984" s="8" t="str">
        <f aca="false">IF($A984="","",IFERROR(INDEX(Products!$B$2:$B$50,MATCH($E984,Products!$A$2:$A$50,0)),"Unmapped"))</f>
        <v/>
      </c>
      <c r="I984" s="41" t="str">
        <f aca="false">IF($A984="","",IFERROR(INDEX(Products!$C$2:$C$50,MATCH($E984,Products!$A$2:$A$50,0)),0))</f>
        <v/>
      </c>
      <c r="J984" s="41" t="str">
        <f aca="false">IF($A984="","",IFERROR(INDEX(Products!$D$2:$D$50,MATCH($E984,Products!$A$2:$A$50,0)),0))</f>
        <v/>
      </c>
      <c r="K984" s="41" t="str">
        <f aca="false">IF($A984="","",$F984*$I984*(1-$G984))</f>
        <v/>
      </c>
      <c r="L984" s="41" t="str">
        <f aca="false">IF($A984="","",$F984*$J984)</f>
        <v/>
      </c>
      <c r="M984" s="41" t="str">
        <f aca="false">IF($A984="","",$K984-$L984)</f>
        <v/>
      </c>
    </row>
    <row r="985" customFormat="false" ht="15" hidden="false" customHeight="false" outlineLevel="0" collapsed="false">
      <c r="H985" s="8" t="str">
        <f aca="false">IF($A985="","",IFERROR(INDEX(Products!$B$2:$B$50,MATCH($E985,Products!$A$2:$A$50,0)),"Unmapped"))</f>
        <v/>
      </c>
      <c r="I985" s="41" t="str">
        <f aca="false">IF($A985="","",IFERROR(INDEX(Products!$C$2:$C$50,MATCH($E985,Products!$A$2:$A$50,0)),0))</f>
        <v/>
      </c>
      <c r="J985" s="41" t="str">
        <f aca="false">IF($A985="","",IFERROR(INDEX(Products!$D$2:$D$50,MATCH($E985,Products!$A$2:$A$50,0)),0))</f>
        <v/>
      </c>
      <c r="K985" s="41" t="str">
        <f aca="false">IF($A985="","",$F985*$I985*(1-$G985))</f>
        <v/>
      </c>
      <c r="L985" s="41" t="str">
        <f aca="false">IF($A985="","",$F985*$J985)</f>
        <v/>
      </c>
      <c r="M985" s="41" t="str">
        <f aca="false">IF($A985="","",$K985-$L985)</f>
        <v/>
      </c>
    </row>
    <row r="986" customFormat="false" ht="15" hidden="false" customHeight="false" outlineLevel="0" collapsed="false">
      <c r="H986" s="8" t="str">
        <f aca="false">IF($A986="","",IFERROR(INDEX(Products!$B$2:$B$50,MATCH($E986,Products!$A$2:$A$50,0)),"Unmapped"))</f>
        <v/>
      </c>
      <c r="I986" s="41" t="str">
        <f aca="false">IF($A986="","",IFERROR(INDEX(Products!$C$2:$C$50,MATCH($E986,Products!$A$2:$A$50,0)),0))</f>
        <v/>
      </c>
      <c r="J986" s="41" t="str">
        <f aca="false">IF($A986="","",IFERROR(INDEX(Products!$D$2:$D$50,MATCH($E986,Products!$A$2:$A$50,0)),0))</f>
        <v/>
      </c>
      <c r="K986" s="41" t="str">
        <f aca="false">IF($A986="","",$F986*$I986*(1-$G986))</f>
        <v/>
      </c>
      <c r="L986" s="41" t="str">
        <f aca="false">IF($A986="","",$F986*$J986)</f>
        <v/>
      </c>
      <c r="M986" s="41" t="str">
        <f aca="false">IF($A986="","",$K986-$L986)</f>
        <v/>
      </c>
    </row>
    <row r="987" customFormat="false" ht="15" hidden="false" customHeight="false" outlineLevel="0" collapsed="false">
      <c r="H987" s="8" t="str">
        <f aca="false">IF($A987="","",IFERROR(INDEX(Products!$B$2:$B$50,MATCH($E987,Products!$A$2:$A$50,0)),"Unmapped"))</f>
        <v/>
      </c>
      <c r="I987" s="41" t="str">
        <f aca="false">IF($A987="","",IFERROR(INDEX(Products!$C$2:$C$50,MATCH($E987,Products!$A$2:$A$50,0)),0))</f>
        <v/>
      </c>
      <c r="J987" s="41" t="str">
        <f aca="false">IF($A987="","",IFERROR(INDEX(Products!$D$2:$D$50,MATCH($E987,Products!$A$2:$A$50,0)),0))</f>
        <v/>
      </c>
      <c r="K987" s="41" t="str">
        <f aca="false">IF($A987="","",$F987*$I987*(1-$G987))</f>
        <v/>
      </c>
      <c r="L987" s="41" t="str">
        <f aca="false">IF($A987="","",$F987*$J987)</f>
        <v/>
      </c>
      <c r="M987" s="41" t="str">
        <f aca="false">IF($A987="","",$K987-$L987)</f>
        <v/>
      </c>
    </row>
    <row r="988" customFormat="false" ht="15" hidden="false" customHeight="false" outlineLevel="0" collapsed="false">
      <c r="H988" s="8" t="str">
        <f aca="false">IF($A988="","",IFERROR(INDEX(Products!$B$2:$B$50,MATCH($E988,Products!$A$2:$A$50,0)),"Unmapped"))</f>
        <v/>
      </c>
      <c r="I988" s="41" t="str">
        <f aca="false">IF($A988="","",IFERROR(INDEX(Products!$C$2:$C$50,MATCH($E988,Products!$A$2:$A$50,0)),0))</f>
        <v/>
      </c>
      <c r="J988" s="41" t="str">
        <f aca="false">IF($A988="","",IFERROR(INDEX(Products!$D$2:$D$50,MATCH($E988,Products!$A$2:$A$50,0)),0))</f>
        <v/>
      </c>
      <c r="K988" s="41" t="str">
        <f aca="false">IF($A988="","",$F988*$I988*(1-$G988))</f>
        <v/>
      </c>
      <c r="L988" s="41" t="str">
        <f aca="false">IF($A988="","",$F988*$J988)</f>
        <v/>
      </c>
      <c r="M988" s="41" t="str">
        <f aca="false">IF($A988="","",$K988-$L988)</f>
        <v/>
      </c>
    </row>
    <row r="989" customFormat="false" ht="15" hidden="false" customHeight="false" outlineLevel="0" collapsed="false">
      <c r="H989" s="8" t="str">
        <f aca="false">IF($A989="","",IFERROR(INDEX(Products!$B$2:$B$50,MATCH($E989,Products!$A$2:$A$50,0)),"Unmapped"))</f>
        <v/>
      </c>
      <c r="I989" s="41" t="str">
        <f aca="false">IF($A989="","",IFERROR(INDEX(Products!$C$2:$C$50,MATCH($E989,Products!$A$2:$A$50,0)),0))</f>
        <v/>
      </c>
      <c r="J989" s="41" t="str">
        <f aca="false">IF($A989="","",IFERROR(INDEX(Products!$D$2:$D$50,MATCH($E989,Products!$A$2:$A$50,0)),0))</f>
        <v/>
      </c>
      <c r="K989" s="41" t="str">
        <f aca="false">IF($A989="","",$F989*$I989*(1-$G989))</f>
        <v/>
      </c>
      <c r="L989" s="41" t="str">
        <f aca="false">IF($A989="","",$F989*$J989)</f>
        <v/>
      </c>
      <c r="M989" s="41" t="str">
        <f aca="false">IF($A989="","",$K989-$L989)</f>
        <v/>
      </c>
    </row>
    <row r="990" customFormat="false" ht="15" hidden="false" customHeight="false" outlineLevel="0" collapsed="false">
      <c r="H990" s="8" t="str">
        <f aca="false">IF($A990="","",IFERROR(INDEX(Products!$B$2:$B$50,MATCH($E990,Products!$A$2:$A$50,0)),"Unmapped"))</f>
        <v/>
      </c>
      <c r="I990" s="41" t="str">
        <f aca="false">IF($A990="","",IFERROR(INDEX(Products!$C$2:$C$50,MATCH($E990,Products!$A$2:$A$50,0)),0))</f>
        <v/>
      </c>
      <c r="J990" s="41" t="str">
        <f aca="false">IF($A990="","",IFERROR(INDEX(Products!$D$2:$D$50,MATCH($E990,Products!$A$2:$A$50,0)),0))</f>
        <v/>
      </c>
      <c r="K990" s="41" t="str">
        <f aca="false">IF($A990="","",$F990*$I990*(1-$G990))</f>
        <v/>
      </c>
      <c r="L990" s="41" t="str">
        <f aca="false">IF($A990="","",$F990*$J990)</f>
        <v/>
      </c>
      <c r="M990" s="41" t="str">
        <f aca="false">IF($A990="","",$K990-$L990)</f>
        <v/>
      </c>
    </row>
    <row r="991" customFormat="false" ht="15" hidden="false" customHeight="false" outlineLevel="0" collapsed="false">
      <c r="H991" s="8" t="str">
        <f aca="false">IF($A991="","",IFERROR(INDEX(Products!$B$2:$B$50,MATCH($E991,Products!$A$2:$A$50,0)),"Unmapped"))</f>
        <v/>
      </c>
      <c r="I991" s="41" t="str">
        <f aca="false">IF($A991="","",IFERROR(INDEX(Products!$C$2:$C$50,MATCH($E991,Products!$A$2:$A$50,0)),0))</f>
        <v/>
      </c>
      <c r="J991" s="41" t="str">
        <f aca="false">IF($A991="","",IFERROR(INDEX(Products!$D$2:$D$50,MATCH($E991,Products!$A$2:$A$50,0)),0))</f>
        <v/>
      </c>
      <c r="K991" s="41" t="str">
        <f aca="false">IF($A991="","",$F991*$I991*(1-$G991))</f>
        <v/>
      </c>
      <c r="L991" s="41" t="str">
        <f aca="false">IF($A991="","",$F991*$J991)</f>
        <v/>
      </c>
      <c r="M991" s="41" t="str">
        <f aca="false">IF($A991="","",$K991-$L991)</f>
        <v/>
      </c>
    </row>
    <row r="992" customFormat="false" ht="15" hidden="false" customHeight="false" outlineLevel="0" collapsed="false">
      <c r="H992" s="8" t="str">
        <f aca="false">IF($A992="","",IFERROR(INDEX(Products!$B$2:$B$50,MATCH($E992,Products!$A$2:$A$50,0)),"Unmapped"))</f>
        <v/>
      </c>
      <c r="I992" s="41" t="str">
        <f aca="false">IF($A992="","",IFERROR(INDEX(Products!$C$2:$C$50,MATCH($E992,Products!$A$2:$A$50,0)),0))</f>
        <v/>
      </c>
      <c r="J992" s="41" t="str">
        <f aca="false">IF($A992="","",IFERROR(INDEX(Products!$D$2:$D$50,MATCH($E992,Products!$A$2:$A$50,0)),0))</f>
        <v/>
      </c>
      <c r="K992" s="41" t="str">
        <f aca="false">IF($A992="","",$F992*$I992*(1-$G992))</f>
        <v/>
      </c>
      <c r="L992" s="41" t="str">
        <f aca="false">IF($A992="","",$F992*$J992)</f>
        <v/>
      </c>
      <c r="M992" s="41" t="str">
        <f aca="false">IF($A992="","",$K992-$L992)</f>
        <v/>
      </c>
    </row>
    <row r="993" customFormat="false" ht="15" hidden="false" customHeight="false" outlineLevel="0" collapsed="false">
      <c r="H993" s="8" t="str">
        <f aca="false">IF($A993="","",IFERROR(INDEX(Products!$B$2:$B$50,MATCH($E993,Products!$A$2:$A$50,0)),"Unmapped"))</f>
        <v/>
      </c>
      <c r="I993" s="41" t="str">
        <f aca="false">IF($A993="","",IFERROR(INDEX(Products!$C$2:$C$50,MATCH($E993,Products!$A$2:$A$50,0)),0))</f>
        <v/>
      </c>
      <c r="J993" s="41" t="str">
        <f aca="false">IF($A993="","",IFERROR(INDEX(Products!$D$2:$D$50,MATCH($E993,Products!$A$2:$A$50,0)),0))</f>
        <v/>
      </c>
      <c r="K993" s="41" t="str">
        <f aca="false">IF($A993="","",$F993*$I993*(1-$G993))</f>
        <v/>
      </c>
      <c r="L993" s="41" t="str">
        <f aca="false">IF($A993="","",$F993*$J993)</f>
        <v/>
      </c>
      <c r="M993" s="41" t="str">
        <f aca="false">IF($A993="","",$K993-$L993)</f>
        <v/>
      </c>
    </row>
    <row r="994" customFormat="false" ht="15" hidden="false" customHeight="false" outlineLevel="0" collapsed="false">
      <c r="H994" s="8" t="str">
        <f aca="false">IF($A994="","",IFERROR(INDEX(Products!$B$2:$B$50,MATCH($E994,Products!$A$2:$A$50,0)),"Unmapped"))</f>
        <v/>
      </c>
      <c r="I994" s="41" t="str">
        <f aca="false">IF($A994="","",IFERROR(INDEX(Products!$C$2:$C$50,MATCH($E994,Products!$A$2:$A$50,0)),0))</f>
        <v/>
      </c>
      <c r="J994" s="41" t="str">
        <f aca="false">IF($A994="","",IFERROR(INDEX(Products!$D$2:$D$50,MATCH($E994,Products!$A$2:$A$50,0)),0))</f>
        <v/>
      </c>
      <c r="K994" s="41" t="str">
        <f aca="false">IF($A994="","",$F994*$I994*(1-$G994))</f>
        <v/>
      </c>
      <c r="L994" s="41" t="str">
        <f aca="false">IF($A994="","",$F994*$J994)</f>
        <v/>
      </c>
      <c r="M994" s="41" t="str">
        <f aca="false">IF($A994="","",$K994-$L994)</f>
        <v/>
      </c>
    </row>
    <row r="995" customFormat="false" ht="15" hidden="false" customHeight="false" outlineLevel="0" collapsed="false">
      <c r="H995" s="8" t="str">
        <f aca="false">IF($A995="","",IFERROR(INDEX(Products!$B$2:$B$50,MATCH($E995,Products!$A$2:$A$50,0)),"Unmapped"))</f>
        <v/>
      </c>
      <c r="I995" s="41" t="str">
        <f aca="false">IF($A995="","",IFERROR(INDEX(Products!$C$2:$C$50,MATCH($E995,Products!$A$2:$A$50,0)),0))</f>
        <v/>
      </c>
      <c r="J995" s="41" t="str">
        <f aca="false">IF($A995="","",IFERROR(INDEX(Products!$D$2:$D$50,MATCH($E995,Products!$A$2:$A$50,0)),0))</f>
        <v/>
      </c>
      <c r="K995" s="41" t="str">
        <f aca="false">IF($A995="","",$F995*$I995*(1-$G995))</f>
        <v/>
      </c>
      <c r="L995" s="41" t="str">
        <f aca="false">IF($A995="","",$F995*$J995)</f>
        <v/>
      </c>
      <c r="M995" s="41" t="str">
        <f aca="false">IF($A995="","",$K995-$L995)</f>
        <v/>
      </c>
    </row>
    <row r="996" customFormat="false" ht="15" hidden="false" customHeight="false" outlineLevel="0" collapsed="false">
      <c r="H996" s="8" t="str">
        <f aca="false">IF($A996="","",IFERROR(INDEX(Products!$B$2:$B$50,MATCH($E996,Products!$A$2:$A$50,0)),"Unmapped"))</f>
        <v/>
      </c>
      <c r="I996" s="41" t="str">
        <f aca="false">IF($A996="","",IFERROR(INDEX(Products!$C$2:$C$50,MATCH($E996,Products!$A$2:$A$50,0)),0))</f>
        <v/>
      </c>
      <c r="J996" s="41" t="str">
        <f aca="false">IF($A996="","",IFERROR(INDEX(Products!$D$2:$D$50,MATCH($E996,Products!$A$2:$A$50,0)),0))</f>
        <v/>
      </c>
      <c r="K996" s="41" t="str">
        <f aca="false">IF($A996="","",$F996*$I996*(1-$G996))</f>
        <v/>
      </c>
      <c r="L996" s="41" t="str">
        <f aca="false">IF($A996="","",$F996*$J996)</f>
        <v/>
      </c>
      <c r="M996" s="41" t="str">
        <f aca="false">IF($A996="","",$K996-$L996)</f>
        <v/>
      </c>
    </row>
    <row r="997" customFormat="false" ht="15" hidden="false" customHeight="false" outlineLevel="0" collapsed="false">
      <c r="H997" s="8" t="str">
        <f aca="false">IF($A997="","",IFERROR(INDEX(Products!$B$2:$B$50,MATCH($E997,Products!$A$2:$A$50,0)),"Unmapped"))</f>
        <v/>
      </c>
      <c r="I997" s="41" t="str">
        <f aca="false">IF($A997="","",IFERROR(INDEX(Products!$C$2:$C$50,MATCH($E997,Products!$A$2:$A$50,0)),0))</f>
        <v/>
      </c>
      <c r="J997" s="41" t="str">
        <f aca="false">IF($A997="","",IFERROR(INDEX(Products!$D$2:$D$50,MATCH($E997,Products!$A$2:$A$50,0)),0))</f>
        <v/>
      </c>
      <c r="K997" s="41" t="str">
        <f aca="false">IF($A997="","",$F997*$I997*(1-$G997))</f>
        <v/>
      </c>
      <c r="L997" s="41" t="str">
        <f aca="false">IF($A997="","",$F997*$J997)</f>
        <v/>
      </c>
      <c r="M997" s="41" t="str">
        <f aca="false">IF($A997="","",$K997-$L997)</f>
        <v/>
      </c>
    </row>
    <row r="998" customFormat="false" ht="15" hidden="false" customHeight="false" outlineLevel="0" collapsed="false">
      <c r="H998" s="8" t="str">
        <f aca="false">IF($A998="","",IFERROR(INDEX(Products!$B$2:$B$50,MATCH($E998,Products!$A$2:$A$50,0)),"Unmapped"))</f>
        <v/>
      </c>
      <c r="I998" s="41" t="str">
        <f aca="false">IF($A998="","",IFERROR(INDEX(Products!$C$2:$C$50,MATCH($E998,Products!$A$2:$A$50,0)),0))</f>
        <v/>
      </c>
      <c r="J998" s="41" t="str">
        <f aca="false">IF($A998="","",IFERROR(INDEX(Products!$D$2:$D$50,MATCH($E998,Products!$A$2:$A$50,0)),0))</f>
        <v/>
      </c>
      <c r="K998" s="41" t="str">
        <f aca="false">IF($A998="","",$F998*$I998*(1-$G998))</f>
        <v/>
      </c>
      <c r="L998" s="41" t="str">
        <f aca="false">IF($A998="","",$F998*$J998)</f>
        <v/>
      </c>
      <c r="M998" s="41" t="str">
        <f aca="false">IF($A998="","",$K998-$L998)</f>
        <v/>
      </c>
    </row>
    <row r="999" customFormat="false" ht="15" hidden="false" customHeight="false" outlineLevel="0" collapsed="false">
      <c r="H999" s="8" t="str">
        <f aca="false">IF($A999="","",IFERROR(INDEX(Products!$B$2:$B$50,MATCH($E999,Products!$A$2:$A$50,0)),"Unmapped"))</f>
        <v/>
      </c>
      <c r="I999" s="41" t="str">
        <f aca="false">IF($A999="","",IFERROR(INDEX(Products!$C$2:$C$50,MATCH($E999,Products!$A$2:$A$50,0)),0))</f>
        <v/>
      </c>
      <c r="J999" s="41" t="str">
        <f aca="false">IF($A999="","",IFERROR(INDEX(Products!$D$2:$D$50,MATCH($E999,Products!$A$2:$A$50,0)),0))</f>
        <v/>
      </c>
      <c r="K999" s="41" t="str">
        <f aca="false">IF($A999="","",$F999*$I999*(1-$G999))</f>
        <v/>
      </c>
      <c r="L999" s="41" t="str">
        <f aca="false">IF($A999="","",$F999*$J999)</f>
        <v/>
      </c>
      <c r="M999" s="41" t="str">
        <f aca="false">IF($A999="","",$K999-$L999)</f>
        <v/>
      </c>
    </row>
    <row r="1000" customFormat="false" ht="15" hidden="false" customHeight="false" outlineLevel="0" collapsed="false">
      <c r="H1000" s="8" t="str">
        <f aca="false">IF($A1000="","",IFERROR(INDEX(Products!$B$2:$B$50,MATCH($E1000,Products!$A$2:$A$50,0)),"Unmapped"))</f>
        <v/>
      </c>
      <c r="I1000" s="41" t="str">
        <f aca="false">IF($A1000="","",IFERROR(INDEX(Products!$C$2:$C$50,MATCH($E1000,Products!$A$2:$A$50,0)),0))</f>
        <v/>
      </c>
      <c r="J1000" s="41" t="str">
        <f aca="false">IF($A1000="","",IFERROR(INDEX(Products!$D$2:$D$50,MATCH($E1000,Products!$A$2:$A$50,0)),0))</f>
        <v/>
      </c>
      <c r="K1000" s="41" t="str">
        <f aca="false">IF($A1000="","",$F1000*$I1000*(1-$G1000))</f>
        <v/>
      </c>
      <c r="L1000" s="41" t="str">
        <f aca="false">IF($A1000="","",$F1000*$J1000)</f>
        <v/>
      </c>
      <c r="M1000" s="41" t="str">
        <f aca="false">IF($A1000="","",$K1000-$L1000)</f>
        <v/>
      </c>
    </row>
  </sheetData>
  <autoFilter ref="A1:M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22" t="s">
        <v>68</v>
      </c>
      <c r="B1" s="22" t="s">
        <v>53</v>
      </c>
      <c r="C1" s="22" t="s">
        <v>581</v>
      </c>
      <c r="D1" s="22" t="s">
        <v>582</v>
      </c>
    </row>
    <row r="2" customFormat="false" ht="15" hidden="false" customHeight="false" outlineLevel="0" collapsed="false">
      <c r="A2" s="37" t="s">
        <v>94</v>
      </c>
      <c r="B2" s="37" t="s">
        <v>583</v>
      </c>
      <c r="C2" s="42" t="n">
        <v>280</v>
      </c>
      <c r="D2" s="42" t="n">
        <v>210</v>
      </c>
    </row>
    <row r="3" customFormat="false" ht="15" hidden="false" customHeight="false" outlineLevel="0" collapsed="false">
      <c r="A3" s="37" t="s">
        <v>90</v>
      </c>
      <c r="B3" s="37" t="s">
        <v>583</v>
      </c>
      <c r="C3" s="42" t="n">
        <v>120</v>
      </c>
      <c r="D3" s="42" t="n">
        <v>80</v>
      </c>
    </row>
    <row r="4" customFormat="false" ht="15" hidden="false" customHeight="false" outlineLevel="0" collapsed="false">
      <c r="A4" s="37" t="s">
        <v>84</v>
      </c>
      <c r="B4" s="37" t="s">
        <v>583</v>
      </c>
      <c r="C4" s="42" t="n">
        <v>350</v>
      </c>
      <c r="D4" s="42" t="n">
        <v>240</v>
      </c>
    </row>
    <row r="5" customFormat="false" ht="15" hidden="false" customHeight="false" outlineLevel="0" collapsed="false">
      <c r="A5" s="37" t="s">
        <v>96</v>
      </c>
      <c r="B5" s="37" t="s">
        <v>584</v>
      </c>
      <c r="C5" s="42" t="n">
        <v>4800</v>
      </c>
      <c r="D5" s="42" t="n">
        <v>3500</v>
      </c>
    </row>
    <row r="6" customFormat="false" ht="15" hidden="false" customHeight="false" outlineLevel="0" collapsed="false">
      <c r="A6" s="37" t="s">
        <v>107</v>
      </c>
      <c r="B6" s="37" t="s">
        <v>584</v>
      </c>
      <c r="C6" s="42" t="n">
        <v>7200</v>
      </c>
      <c r="D6" s="42" t="n">
        <v>5400</v>
      </c>
    </row>
    <row r="7" customFormat="false" ht="15" hidden="false" customHeight="false" outlineLevel="0" collapsed="false">
      <c r="A7" s="37" t="s">
        <v>134</v>
      </c>
      <c r="B7" s="37" t="s">
        <v>584</v>
      </c>
      <c r="C7" s="42" t="n">
        <v>6100</v>
      </c>
      <c r="D7" s="42" t="n">
        <v>4500</v>
      </c>
    </row>
    <row r="8" customFormat="false" ht="15" hidden="false" customHeight="false" outlineLevel="0" collapsed="false">
      <c r="A8" s="37" t="s">
        <v>121</v>
      </c>
      <c r="B8" s="37" t="s">
        <v>585</v>
      </c>
      <c r="C8" s="42" t="n">
        <v>650</v>
      </c>
      <c r="D8" s="42" t="n">
        <v>430</v>
      </c>
    </row>
    <row r="9" customFormat="false" ht="15" hidden="false" customHeight="false" outlineLevel="0" collapsed="false">
      <c r="A9" s="37" t="s">
        <v>103</v>
      </c>
      <c r="B9" s="37" t="s">
        <v>585</v>
      </c>
      <c r="C9" s="42" t="n">
        <v>900</v>
      </c>
      <c r="D9" s="42" t="n">
        <v>620</v>
      </c>
    </row>
    <row r="10" customFormat="false" ht="15" hidden="false" customHeight="false" outlineLevel="0" collapsed="false">
      <c r="A10" s="37" t="s">
        <v>174</v>
      </c>
      <c r="B10" s="37" t="s">
        <v>585</v>
      </c>
      <c r="C10" s="42" t="n">
        <v>9800</v>
      </c>
      <c r="D10" s="42" t="n">
        <v>7600</v>
      </c>
    </row>
    <row r="11" customFormat="false" ht="15" hidden="false" customHeight="false" outlineLevel="0" collapsed="false">
      <c r="A11" s="37" t="s">
        <v>157</v>
      </c>
      <c r="B11" s="37" t="s">
        <v>585</v>
      </c>
      <c r="C11" s="42" t="n">
        <v>8900</v>
      </c>
      <c r="D11" s="42" t="n">
        <v>7000</v>
      </c>
    </row>
    <row r="12" customFormat="false" ht="15" hidden="false" customHeight="false" outlineLevel="0" collapsed="false">
      <c r="A12" s="37" t="s">
        <v>114</v>
      </c>
      <c r="B12" s="37" t="s">
        <v>586</v>
      </c>
      <c r="C12" s="42" t="n">
        <v>1500</v>
      </c>
      <c r="D12" s="42" t="n">
        <v>1100</v>
      </c>
    </row>
    <row r="13" customFormat="false" ht="15" hidden="false" customHeight="false" outlineLevel="0" collapsed="false">
      <c r="A13" s="37" t="s">
        <v>80</v>
      </c>
      <c r="B13" s="37" t="s">
        <v>586</v>
      </c>
      <c r="C13" s="42" t="n">
        <v>5600</v>
      </c>
      <c r="D13" s="42" t="n">
        <v>4200</v>
      </c>
    </row>
    <row r="15" customFormat="false" ht="15" hidden="false" customHeight="false" outlineLevel="0" collapsed="false">
      <c r="A15" s="2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26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22" t="s">
        <v>588</v>
      </c>
      <c r="B1" s="22" t="s">
        <v>589</v>
      </c>
      <c r="C1" s="22" t="s">
        <v>590</v>
      </c>
      <c r="D1" s="22" t="s">
        <v>591</v>
      </c>
      <c r="E1" s="22" t="s">
        <v>592</v>
      </c>
      <c r="F1" s="22" t="s">
        <v>593</v>
      </c>
      <c r="G1" s="22" t="s">
        <v>594</v>
      </c>
      <c r="H1" s="22" t="s">
        <v>595</v>
      </c>
    </row>
    <row r="2" customFormat="false" ht="15" hidden="false" customHeight="false" outlineLevel="0" collapsed="false">
      <c r="A2" s="37" t="s">
        <v>596</v>
      </c>
      <c r="B2" s="37" t="s">
        <v>78</v>
      </c>
      <c r="C2" s="37" t="s">
        <v>86</v>
      </c>
      <c r="D2" s="37" t="s">
        <v>78</v>
      </c>
      <c r="E2" s="37" t="s">
        <v>583</v>
      </c>
      <c r="F2" s="41" t="n">
        <f aca="false">SUMIFS(Data!$K$2:$K$1000,Data!$D$2:$D$1000,$C2,Data!$B$2:$B$1000,"&gt;="&amp;Dashboard!$C$6,Data!$B$2:$B$1000,"&lt;="&amp;Dashboard!$F$6)</f>
        <v>544835</v>
      </c>
      <c r="G2" s="43" t="n">
        <f aca="false">COUNTIFS(Data!$D$2:$D$1000,$C2,Data!$B$2:$B$1000,"&gt;="&amp;Dashboard!$C$6,Data!$B$2:$B$1000,"&lt;="&amp;Dashboard!$F$6)</f>
        <v>12</v>
      </c>
      <c r="H2" s="43" t="n">
        <f aca="false">RANK(F2,$F$2:$F$9)+COUNTIF($F$2:F2,F2)-1</f>
        <v>1</v>
      </c>
    </row>
    <row r="3" customFormat="false" ht="15" hidden="false" customHeight="false" outlineLevel="0" collapsed="false">
      <c r="A3" s="37" t="s">
        <v>597</v>
      </c>
      <c r="B3" s="37" t="s">
        <v>82</v>
      </c>
      <c r="C3" s="37" t="s">
        <v>79</v>
      </c>
      <c r="D3" s="37" t="s">
        <v>78</v>
      </c>
      <c r="E3" s="37" t="s">
        <v>584</v>
      </c>
      <c r="F3" s="41" t="n">
        <f aca="false">SUMIFS(Data!$K$2:$K$1000,Data!$D$2:$D$1000,$C3,Data!$B$2:$B$1000,"&gt;="&amp;Dashboard!$C$6,Data!$B$2:$B$1000,"&lt;="&amp;Dashboard!$F$6)</f>
        <v>188358</v>
      </c>
      <c r="G3" s="43" t="n">
        <f aca="false">COUNTIFS(Data!$D$2:$D$1000,$C3,Data!$B$2:$B$1000,"&gt;="&amp;Dashboard!$C$6,Data!$B$2:$B$1000,"&lt;="&amp;Dashboard!$F$6)</f>
        <v>7</v>
      </c>
      <c r="H3" s="43" t="n">
        <f aca="false">RANK(F3,$F$2:$F$9)+COUNTIF($F$2:F3,F3)-1</f>
        <v>4</v>
      </c>
    </row>
    <row r="4" customFormat="false" ht="15" hidden="false" customHeight="false" outlineLevel="0" collapsed="false">
      <c r="A4" s="37" t="s">
        <v>598</v>
      </c>
      <c r="B4" s="37" t="s">
        <v>88</v>
      </c>
      <c r="C4" s="37" t="s">
        <v>83</v>
      </c>
      <c r="D4" s="37" t="s">
        <v>82</v>
      </c>
      <c r="E4" s="37" t="s">
        <v>585</v>
      </c>
      <c r="F4" s="41" t="n">
        <f aca="false">SUMIFS(Data!$K$2:$K$1000,Data!$D$2:$D$1000,$C4,Data!$B$2:$B$1000,"&gt;="&amp;Dashboard!$C$6,Data!$B$2:$B$1000,"&lt;="&amp;Dashboard!$F$6)</f>
        <v>228155</v>
      </c>
      <c r="G4" s="43" t="n">
        <f aca="false">COUNTIFS(Data!$D$2:$D$1000,$C4,Data!$B$2:$B$1000,"&gt;="&amp;Dashboard!$C$6,Data!$B$2:$B$1000,"&lt;="&amp;Dashboard!$F$6)</f>
        <v>4</v>
      </c>
      <c r="H4" s="43" t="n">
        <f aca="false">RANK(F4,$F$2:$F$9)+COUNTIF($F$2:F4,F4)-1</f>
        <v>3</v>
      </c>
    </row>
    <row r="5" customFormat="false" ht="15" hidden="false" customHeight="false" outlineLevel="0" collapsed="false">
      <c r="A5" s="37" t="s">
        <v>599</v>
      </c>
      <c r="B5" s="37" t="s">
        <v>105</v>
      </c>
      <c r="C5" s="37" t="s">
        <v>93</v>
      </c>
      <c r="D5" s="37" t="s">
        <v>82</v>
      </c>
      <c r="E5" s="37" t="s">
        <v>586</v>
      </c>
      <c r="F5" s="41" t="n">
        <f aca="false">SUMIFS(Data!$K$2:$K$1000,Data!$D$2:$D$1000,$C5,Data!$B$2:$B$1000,"&gt;="&amp;Dashboard!$C$6,Data!$B$2:$B$1000,"&lt;="&amp;Dashboard!$F$6)</f>
        <v>396817</v>
      </c>
      <c r="G5" s="43" t="n">
        <f aca="false">COUNTIFS(Data!$D$2:$D$1000,$C5,Data!$B$2:$B$1000,"&gt;="&amp;Dashboard!$C$6,Data!$B$2:$B$1000,"&lt;="&amp;Dashboard!$F$6)</f>
        <v>12</v>
      </c>
      <c r="H5" s="43" t="n">
        <f aca="false">RANK(F5,$F$2:$F$9)+COUNTIF($F$2:F5,F5)-1</f>
        <v>2</v>
      </c>
    </row>
    <row r="6" customFormat="false" ht="15" hidden="false" customHeight="false" outlineLevel="0" collapsed="false">
      <c r="A6" s="37" t="s">
        <v>600</v>
      </c>
      <c r="C6" s="37" t="s">
        <v>111</v>
      </c>
      <c r="D6" s="37" t="s">
        <v>88</v>
      </c>
      <c r="F6" s="41" t="n">
        <f aca="false">SUMIFS(Data!$K$2:$K$1000,Data!$D$2:$D$1000,$C6,Data!$B$2:$B$1000,"&gt;="&amp;Dashboard!$C$6,Data!$B$2:$B$1000,"&lt;="&amp;Dashboard!$F$6)</f>
        <v>24444</v>
      </c>
      <c r="G6" s="43" t="n">
        <f aca="false">COUNTIFS(Data!$D$2:$D$1000,$C6,Data!$B$2:$B$1000,"&gt;="&amp;Dashboard!$C$6,Data!$B$2:$B$1000,"&lt;="&amp;Dashboard!$F$6)</f>
        <v>2</v>
      </c>
      <c r="H6" s="43" t="n">
        <f aca="false">RANK(F6,$F$2:$F$9)+COUNTIF($F$2:F6,F6)-1</f>
        <v>7</v>
      </c>
    </row>
    <row r="7" customFormat="false" ht="15" hidden="false" customHeight="false" outlineLevel="0" collapsed="false">
      <c r="A7" s="37" t="s">
        <v>601</v>
      </c>
      <c r="C7" s="37" t="s">
        <v>89</v>
      </c>
      <c r="D7" s="37" t="s">
        <v>88</v>
      </c>
      <c r="F7" s="41" t="n">
        <f aca="false">SUMIFS(Data!$K$2:$K$1000,Data!$D$2:$D$1000,$C7,Data!$B$2:$B$1000,"&gt;="&amp;Dashboard!$C$6,Data!$B$2:$B$1000,"&lt;="&amp;Dashboard!$F$6)</f>
        <v>58630</v>
      </c>
      <c r="G7" s="43" t="n">
        <f aca="false">COUNTIFS(Data!$D$2:$D$1000,$C7,Data!$B$2:$B$1000,"&gt;="&amp;Dashboard!$C$6,Data!$B$2:$B$1000,"&lt;="&amp;Dashboard!$F$6)</f>
        <v>2</v>
      </c>
      <c r="H7" s="43" t="n">
        <f aca="false">RANK(F7,$F$2:$F$9)+COUNTIF($F$2:F7,F7)-1</f>
        <v>6</v>
      </c>
    </row>
    <row r="8" customFormat="false" ht="15" hidden="false" customHeight="false" outlineLevel="0" collapsed="false">
      <c r="A8" s="37" t="s">
        <v>602</v>
      </c>
      <c r="C8" s="37" t="s">
        <v>106</v>
      </c>
      <c r="D8" s="37" t="s">
        <v>105</v>
      </c>
      <c r="F8" s="41" t="n">
        <f aca="false">SUMIFS(Data!$K$2:$K$1000,Data!$D$2:$D$1000,$C8,Data!$B$2:$B$1000,"&gt;="&amp;Dashboard!$C$6,Data!$B$2:$B$1000,"&lt;="&amp;Dashboard!$F$6)</f>
        <v>0</v>
      </c>
      <c r="G8" s="43" t="n">
        <f aca="false">COUNTIFS(Data!$D$2:$D$1000,$C8,Data!$B$2:$B$1000,"&gt;="&amp;Dashboard!$C$6,Data!$B$2:$B$1000,"&lt;="&amp;Dashboard!$F$6)</f>
        <v>0</v>
      </c>
      <c r="H8" s="43" t="n">
        <f aca="false">RANK(F8,$F$2:$F$9)+COUNTIF($F$2:F8,F8)-1</f>
        <v>8</v>
      </c>
    </row>
    <row r="9" customFormat="false" ht="15" hidden="false" customHeight="false" outlineLevel="0" collapsed="false">
      <c r="A9" s="37" t="s">
        <v>603</v>
      </c>
      <c r="C9" s="37" t="s">
        <v>116</v>
      </c>
      <c r="D9" s="37" t="s">
        <v>105</v>
      </c>
      <c r="F9" s="41" t="n">
        <f aca="false">SUMIFS(Data!$K$2:$K$1000,Data!$D$2:$D$1000,$C9,Data!$B$2:$B$1000,"&gt;="&amp;Dashboard!$C$6,Data!$B$2:$B$1000,"&lt;="&amp;Dashboard!$F$6)</f>
        <v>157530</v>
      </c>
      <c r="G9" s="43" t="n">
        <f aca="false">COUNTIFS(Data!$D$2:$D$1000,$C9,Data!$B$2:$B$1000,"&gt;="&amp;Dashboard!$C$6,Data!$B$2:$B$1000,"&lt;="&amp;Dashboard!$F$6)</f>
        <v>4</v>
      </c>
      <c r="H9" s="43" t="n">
        <f aca="false">RANK(F9,$F$2:$F$9)+COUNTIF($F$2:F9,F9)-1</f>
        <v>5</v>
      </c>
    </row>
    <row r="10" customFormat="false" ht="15" hidden="false" customHeight="false" outlineLevel="0" collapsed="false">
      <c r="A10" s="37" t="s">
        <v>35</v>
      </c>
    </row>
    <row r="11" customFormat="false" ht="15" hidden="false" customHeight="false" outlineLevel="0" collapsed="false">
      <c r="A11" s="37" t="s">
        <v>604</v>
      </c>
    </row>
    <row r="12" customFormat="false" ht="15" hidden="false" customHeight="false" outlineLevel="0" collapsed="false">
      <c r="A12" s="37" t="s">
        <v>605</v>
      </c>
    </row>
    <row r="13" customFormat="false" ht="15" hidden="false" customHeight="false" outlineLevel="0" collapsed="false">
      <c r="A13" s="37" t="s">
        <v>606</v>
      </c>
    </row>
    <row r="15" customFormat="false" ht="15" hidden="false" customHeight="false" outlineLevel="0" collapsed="false">
      <c r="A15" s="2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3C"/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32" t="s">
        <v>608</v>
      </c>
    </row>
    <row r="2" customFormat="false" ht="15" hidden="false" customHeight="false" outlineLevel="0" collapsed="false">
      <c r="A2" s="9" t="s">
        <v>609</v>
      </c>
      <c r="B2" s="44" t="str">
        <f aca="false">IF(COUNTIF(C5:C16,"REVIEW")=0,"ALL CHECKS PASSED","REVIEW NEEDED")</f>
        <v>ALL CHECKS PASSED</v>
      </c>
      <c r="C2" s="44"/>
    </row>
    <row r="4" customFormat="false" ht="15" hidden="false" customHeight="false" outlineLevel="0" collapsed="false">
      <c r="A4" s="22" t="s">
        <v>610</v>
      </c>
      <c r="B4" s="22" t="s">
        <v>611</v>
      </c>
      <c r="C4" s="22" t="s">
        <v>612</v>
      </c>
      <c r="D4" s="22" t="s">
        <v>613</v>
      </c>
    </row>
    <row r="5" customFormat="false" ht="15" hidden="false" customHeight="false" outlineLevel="0" collapsed="false">
      <c r="A5" s="5" t="s">
        <v>614</v>
      </c>
      <c r="B5" s="45" t="n">
        <f aca="false">COUNTA(Data!$A$2:$A$1000)</f>
        <v>480</v>
      </c>
      <c r="C5" s="46" t="str">
        <f aca="false">IF(B5&gt;0,"PASS","REVIEW")</f>
        <v>PASS</v>
      </c>
      <c r="D5" s="5" t="s">
        <v>615</v>
      </c>
    </row>
    <row r="6" customFormat="false" ht="15" hidden="false" customHeight="false" outlineLevel="0" collapsed="false">
      <c r="A6" s="5" t="s">
        <v>616</v>
      </c>
      <c r="B6" s="45" t="n">
        <f aca="false">SUMPRODUCT((Data!$A$2:$A$1000&lt;&gt;"")*(Data!$B$2:$B$1000=""))</f>
        <v>0</v>
      </c>
      <c r="C6" s="46" t="str">
        <f aca="false">IF(B6=0,"PASS","REVIEW")</f>
        <v>PASS</v>
      </c>
      <c r="D6" s="5" t="s">
        <v>617</v>
      </c>
    </row>
    <row r="7" customFormat="false" ht="15" hidden="false" customHeight="false" outlineLevel="0" collapsed="false">
      <c r="A7" s="5" t="s">
        <v>618</v>
      </c>
      <c r="B7" s="45" t="n">
        <f aca="false">SUMPRODUCT((Data!$A$2:$A$1000&lt;&gt;"")*(((Data!$C$2:$C$1000="")+(Data!$D$2:$D$1000=""))&gt;0))</f>
        <v>0</v>
      </c>
      <c r="C7" s="46" t="str">
        <f aca="false">IF(B7=0,"PASS","REVIEW")</f>
        <v>PASS</v>
      </c>
      <c r="D7" s="5" t="s">
        <v>619</v>
      </c>
    </row>
    <row r="8" customFormat="false" ht="15" hidden="false" customHeight="false" outlineLevel="0" collapsed="false">
      <c r="A8" s="5" t="s">
        <v>620</v>
      </c>
      <c r="B8" s="45" t="n">
        <f aca="false">SUMPRODUCT((Data!$A$2:$A$1000&lt;&gt;"")*(((Data!$E$2:$E$1000="")+(Data!$F$2:$F$1000=""))&gt;0))</f>
        <v>0</v>
      </c>
      <c r="C8" s="46" t="str">
        <f aca="false">IF(B8=0,"PASS","REVIEW")</f>
        <v>PASS</v>
      </c>
      <c r="D8" s="5" t="s">
        <v>621</v>
      </c>
    </row>
    <row r="9" customFormat="false" ht="15" hidden="false" customHeight="false" outlineLevel="0" collapsed="false">
      <c r="A9" s="5" t="s">
        <v>622</v>
      </c>
      <c r="B9" s="45" t="n">
        <f aca="false">SUMPRODUCT((Data!$A$2:$A$1000&lt;&gt;"")*(COUNTIF(Data!$A$2:$A$1000,Data!$A$2:$A$1000)&gt;1))</f>
        <v>0</v>
      </c>
      <c r="C9" s="46" t="str">
        <f aca="false">IF(B9=0,"PASS","REVIEW")</f>
        <v>PASS</v>
      </c>
      <c r="D9" s="5" t="s">
        <v>623</v>
      </c>
    </row>
    <row r="10" customFormat="false" ht="15" hidden="false" customHeight="false" outlineLevel="0" collapsed="false">
      <c r="A10" s="5" t="s">
        <v>624</v>
      </c>
      <c r="B10" s="45" t="n">
        <f aca="false">COUNTIFS(Data!$F$2:$F$1000,"&lt;=0")</f>
        <v>0</v>
      </c>
      <c r="C10" s="46" t="str">
        <f aca="false">IF(B10=0,"PASS","REVIEW")</f>
        <v>PASS</v>
      </c>
      <c r="D10" s="5" t="s">
        <v>625</v>
      </c>
    </row>
    <row r="11" customFormat="false" ht="15" hidden="false" customHeight="false" outlineLevel="0" collapsed="false">
      <c r="A11" s="5" t="s">
        <v>626</v>
      </c>
      <c r="B11" s="45" t="n">
        <f aca="false">COUNTIFS(Data!$G$2:$G$1000,"&lt;0")+COUNTIFS(Data!$G$2:$G$1000,"&gt;0.5")</f>
        <v>0</v>
      </c>
      <c r="C11" s="46" t="str">
        <f aca="false">IF(B11=0,"PASS","REVIEW")</f>
        <v>PASS</v>
      </c>
      <c r="D11" s="5" t="s">
        <v>627</v>
      </c>
    </row>
    <row r="12" customFormat="false" ht="15" hidden="false" customHeight="false" outlineLevel="0" collapsed="false">
      <c r="A12" s="5" t="s">
        <v>628</v>
      </c>
      <c r="B12" s="45" t="n">
        <f aca="false">COUNTIF(Data!$H$2:$H$1000,"Unmapped")</f>
        <v>0</v>
      </c>
      <c r="C12" s="46" t="str">
        <f aca="false">IF(B12=0,"PASS","REVIEW")</f>
        <v>PASS</v>
      </c>
      <c r="D12" s="5" t="s">
        <v>629</v>
      </c>
    </row>
    <row r="13" customFormat="false" ht="15" hidden="false" customHeight="false" outlineLevel="0" collapsed="false">
      <c r="A13" s="5" t="s">
        <v>630</v>
      </c>
      <c r="B13" s="45" t="n">
        <f aca="false">SUMPRODUCT((Data!$B$2:$B$1000&lt;&gt;"")*(YEAR(Data!$B$2:$B$1000)&lt;&gt;Dashboard!$C$5))</f>
        <v>0</v>
      </c>
      <c r="C13" s="46" t="str">
        <f aca="false">IF(B13=0,"PASS","REVIEW")</f>
        <v>PASS</v>
      </c>
      <c r="D13" s="5" t="s">
        <v>631</v>
      </c>
    </row>
    <row r="14" customFormat="false" ht="15" hidden="false" customHeight="false" outlineLevel="0" collapsed="false">
      <c r="A14" s="5" t="s">
        <v>632</v>
      </c>
      <c r="B14" s="47" t="n">
        <f aca="false">ROUND(Dashboard!C18-Dashboard!B9,2)</f>
        <v>0</v>
      </c>
      <c r="C14" s="46" t="str">
        <f aca="false">IF(B14=0,"PASS","REVIEW")</f>
        <v>PASS</v>
      </c>
      <c r="D14" s="5" t="s">
        <v>633</v>
      </c>
    </row>
    <row r="15" customFormat="false" ht="15" hidden="false" customHeight="false" outlineLevel="0" collapsed="false">
      <c r="A15" s="5" t="s">
        <v>634</v>
      </c>
      <c r="B15" s="47" t="n">
        <f aca="false">ROUND(Dashboard!I18-Dashboard!B9,2)</f>
        <v>0</v>
      </c>
      <c r="C15" s="46" t="str">
        <f aca="false">IF(B15=0,"PASS","REVIEW")</f>
        <v>PASS</v>
      </c>
      <c r="D15" s="5" t="s">
        <v>635</v>
      </c>
    </row>
    <row r="16" customFormat="false" ht="15" hidden="false" customHeight="false" outlineLevel="0" collapsed="false">
      <c r="A16" s="5" t="s">
        <v>636</v>
      </c>
      <c r="B16" s="47" t="n">
        <f aca="false">ROUND(Monthly_Summary!E17-SUM(Data!$K$2:$K$1000),2)</f>
        <v>0</v>
      </c>
      <c r="C16" s="46" t="str">
        <f aca="false">IF(B16=0,"PASS","REVIEW")</f>
        <v>PASS</v>
      </c>
      <c r="D16" s="5" t="s">
        <v>637</v>
      </c>
    </row>
  </sheetData>
  <mergeCells count="1">
    <mergeCell ref="B2:C2"/>
  </mergeCells>
  <conditionalFormatting sqref="C5:C16">
    <cfRule type="expression" priority="2" aboveAverage="0" equalAverage="0" bottom="0" percent="0" rank="0" text="" dxfId="9">
      <formula>C5="PASS"</formula>
    </cfRule>
    <cfRule type="expression" priority="3" aboveAverage="0" equalAverage="0" bottom="0" percent="0" rank="0" text="" dxfId="10">
      <formula>C5="REVIEW"</formula>
    </cfRule>
  </conditionalFormatting>
  <conditionalFormatting sqref="B2">
    <cfRule type="expression" priority="4" aboveAverage="0" equalAverage="0" bottom="0" percent="0" rank="0" text="" dxfId="9">
      <formula>B2="ALL CHECKS PASSED"</formula>
    </cfRule>
    <cfRule type="expression" priority="5" aboveAverage="0" equalAverage="0" bottom="0" percent="0" rank="0" text="" dxfId="10">
      <formula>B2="REVIEW NEEDED"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2026-10-16T07:28:26Z</dcterms:created>
  <dc:creator>openpyxl</dc:creator>
  <dc:description/>
  <dc:language>en-US</dc:language>
  <cp:lastModifiedBy/>
  <dcterms:modified xsi:type="dcterms:W3CDTF">2026-10-16T07:28:30Z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